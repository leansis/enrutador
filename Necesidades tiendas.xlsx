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B5DF323-5668-48AA-99FA-879E22539178}" xr6:coauthVersionLast="47" xr6:coauthVersionMax="47" xr10:uidLastSave="{00000000-0000-0000-0000-000000000000}"/>
  <bookViews>
    <workbookView xWindow="-120" yWindow="-120" windowWidth="20730" windowHeight="11040" activeTab="1" xr2:uid="{61AB57FF-951F-449E-8B3A-8127090F4A1A}"/>
  </bookViews>
  <sheets>
    <sheet name="Hoja1" sheetId="1" r:id="rId1"/>
    <sheet name="maestro tiendas" sheetId="2" r:id="rId2"/>
  </sheets>
  <definedNames>
    <definedName name="_xlnm._FilterDatabase" localSheetId="0" hidden="1">Hoja1!$A$1:$G$109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2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90" i="2"/>
  <c r="D88" i="2"/>
  <c r="D71" i="2"/>
  <c r="D87" i="2"/>
  <c r="D100" i="2"/>
  <c r="D105" i="2"/>
  <c r="D107" i="2"/>
  <c r="D114" i="2"/>
  <c r="D102" i="2"/>
  <c r="D82" i="2"/>
  <c r="D110" i="2"/>
  <c r="D26" i="2"/>
  <c r="D108" i="2"/>
  <c r="D106" i="2"/>
  <c r="D111" i="2"/>
  <c r="D104" i="2"/>
  <c r="D29" i="2"/>
  <c r="D31" i="2"/>
  <c r="D112" i="2"/>
  <c r="D76" i="2"/>
  <c r="D93" i="2"/>
  <c r="D77" i="2"/>
  <c r="D38" i="2"/>
  <c r="D53" i="2"/>
  <c r="D64" i="2"/>
  <c r="D30" i="2"/>
  <c r="D33" i="2"/>
  <c r="D36" i="2"/>
  <c r="D32" i="2"/>
  <c r="D35" i="2"/>
  <c r="D42" i="2"/>
  <c r="D40" i="2"/>
  <c r="D37" i="2"/>
  <c r="D34" i="2"/>
  <c r="D94" i="2"/>
  <c r="D27" i="2"/>
  <c r="D21" i="2"/>
  <c r="D16" i="2"/>
  <c r="D80" i="2"/>
  <c r="D57" i="2"/>
  <c r="D49" i="2"/>
  <c r="D47" i="2"/>
  <c r="D48" i="2"/>
  <c r="D65" i="2"/>
  <c r="D62" i="2"/>
  <c r="D63" i="2"/>
  <c r="D61" i="2"/>
  <c r="D43" i="2"/>
  <c r="D23" i="2"/>
  <c r="D6" i="2"/>
  <c r="D8" i="2"/>
  <c r="D41" i="2"/>
  <c r="D18" i="2"/>
  <c r="D9" i="2"/>
  <c r="D59" i="2"/>
  <c r="D95" i="2"/>
  <c r="D92" i="2"/>
  <c r="D46" i="2"/>
  <c r="D19" i="2"/>
  <c r="D17" i="2"/>
  <c r="D5" i="2"/>
  <c r="D24" i="2"/>
  <c r="D4" i="2"/>
  <c r="D7" i="2"/>
  <c r="D15" i="2"/>
  <c r="D3" i="2"/>
  <c r="D68" i="2"/>
  <c r="D25" i="2"/>
  <c r="D45" i="2"/>
  <c r="D11" i="2"/>
  <c r="D70" i="2"/>
  <c r="D78" i="2"/>
  <c r="D97" i="2"/>
  <c r="D89" i="2"/>
  <c r="D115" i="2"/>
  <c r="D58" i="2"/>
  <c r="D52" i="2"/>
  <c r="D72" i="2"/>
  <c r="D22" i="2"/>
  <c r="D14" i="2"/>
  <c r="D81" i="2"/>
  <c r="D12" i="2"/>
  <c r="D83" i="2"/>
  <c r="D85" i="2"/>
  <c r="D84" i="2"/>
  <c r="D51" i="2"/>
  <c r="D20" i="2"/>
  <c r="D44" i="2"/>
  <c r="D109" i="2"/>
  <c r="D2" i="2"/>
  <c r="D69" i="2"/>
  <c r="D86" i="2"/>
  <c r="D96" i="2"/>
  <c r="D79" i="2"/>
  <c r="D113" i="2"/>
  <c r="D50" i="2"/>
  <c r="D103" i="2"/>
  <c r="D75" i="2"/>
  <c r="D56" i="2"/>
  <c r="D74" i="2"/>
  <c r="D99" i="2"/>
  <c r="D73" i="2"/>
  <c r="D28" i="2"/>
  <c r="D39" i="2"/>
  <c r="D60" i="2"/>
  <c r="D101" i="2"/>
  <c r="D55" i="2"/>
  <c r="D66" i="2"/>
  <c r="D91" i="2"/>
  <c r="D98" i="2"/>
  <c r="D13" i="2"/>
  <c r="D67" i="2"/>
  <c r="D54" i="2"/>
  <c r="D10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G2" i="2" l="1"/>
</calcChain>
</file>

<file path=xl/sharedStrings.xml><?xml version="1.0" encoding="utf-8"?>
<sst xmlns="http://schemas.openxmlformats.org/spreadsheetml/2006/main" count="393" uniqueCount="169">
  <si>
    <t>Tienda</t>
  </si>
  <si>
    <t>PUERTO 23</t>
  </si>
  <si>
    <t>ALICANTE</t>
  </si>
  <si>
    <t>VALENCIA</t>
  </si>
  <si>
    <t>CASTELLON</t>
  </si>
  <si>
    <t>ALCOY</t>
  </si>
  <si>
    <t>SAN VICENTE</t>
  </si>
  <si>
    <t>zona</t>
  </si>
  <si>
    <t>Fecha servicio</t>
  </si>
  <si>
    <t>Seco</t>
  </si>
  <si>
    <t>MURCIA</t>
  </si>
  <si>
    <t>FyV</t>
  </si>
  <si>
    <t>Charcu</t>
  </si>
  <si>
    <t>Proveedor</t>
  </si>
  <si>
    <t>Pallets</t>
  </si>
  <si>
    <t>Pedido</t>
  </si>
  <si>
    <t>PC2783690</t>
  </si>
  <si>
    <t>PC2783691</t>
  </si>
  <si>
    <t>PC2784204</t>
  </si>
  <si>
    <t>PC2784366</t>
  </si>
  <si>
    <t>PC2784367</t>
  </si>
  <si>
    <t>PC2784437</t>
  </si>
  <si>
    <t>PC2784438</t>
  </si>
  <si>
    <t>PC2784439</t>
  </si>
  <si>
    <t>PC2784440</t>
  </si>
  <si>
    <t>PC2784441</t>
  </si>
  <si>
    <t>PC2784442</t>
  </si>
  <si>
    <t>PC2784443</t>
  </si>
  <si>
    <t>PC2784444</t>
  </si>
  <si>
    <t>PC2784206</t>
  </si>
  <si>
    <t>PC2784208</t>
  </si>
  <si>
    <t>PC2784209</t>
  </si>
  <si>
    <t>PC2783765</t>
  </si>
  <si>
    <t>PC2784433</t>
  </si>
  <si>
    <t>PC2784434</t>
  </si>
  <si>
    <t>PC2784435</t>
  </si>
  <si>
    <t>PC2784436</t>
  </si>
  <si>
    <t>PC2784445</t>
  </si>
  <si>
    <t>NOMBRE</t>
  </si>
  <si>
    <t>ZONA</t>
  </si>
  <si>
    <t>CHECK</t>
  </si>
  <si>
    <t>FALTA TIENDA</t>
  </si>
  <si>
    <t>MORAIRA II</t>
  </si>
  <si>
    <t>NOCTURNA</t>
  </si>
  <si>
    <t>NORTE</t>
  </si>
  <si>
    <t>Código</t>
  </si>
  <si>
    <t>VALDEBRUMA</t>
  </si>
  <si>
    <t>MONTECLARO II</t>
  </si>
  <si>
    <t>PUERTO AZUL</t>
  </si>
  <si>
    <t>SAN ROBERTO DE LA SIERRA</t>
  </si>
  <si>
    <t>ALDORIA-PLAZA MAYOR</t>
  </si>
  <si>
    <t>RIOSECO</t>
  </si>
  <si>
    <t>VILLASOL</t>
  </si>
  <si>
    <t>LAGUNARES</t>
  </si>
  <si>
    <t>PINAR DE LA VEGA</t>
  </si>
  <si>
    <t>COSTABRISA-RACÓ</t>
  </si>
  <si>
    <t>COSTABRISA-BENARDA</t>
  </si>
  <si>
    <t>COSTABRISA-COMILLAS</t>
  </si>
  <si>
    <t>MONTCAMÍ HMNOS</t>
  </si>
  <si>
    <t>COSTABRISA-SEVERO</t>
  </si>
  <si>
    <t>ELVANIA</t>
  </si>
  <si>
    <t>PEÑALBA</t>
  </si>
  <si>
    <t>PTO. ARDORA</t>
  </si>
  <si>
    <t>MONTEFARO</t>
  </si>
  <si>
    <t>CASTELLAR DEL RISCO</t>
  </si>
  <si>
    <t>BRISALTA</t>
  </si>
  <si>
    <t>NOGUERA</t>
  </si>
  <si>
    <t>FUENTECLARA</t>
  </si>
  <si>
    <t>EL SAUZAL</t>
  </si>
  <si>
    <t>LOS PINARES</t>
  </si>
  <si>
    <t>BENIALBA</t>
  </si>
  <si>
    <t>SAN LORENZO DEL MORO</t>
  </si>
  <si>
    <t>BENIRROSA</t>
  </si>
  <si>
    <t>GATELLA</t>
  </si>
  <si>
    <t>VALDIA-M.CATALÁ</t>
  </si>
  <si>
    <t>CARRASCAL</t>
  </si>
  <si>
    <t>VALDIA UNIVERSIDAD</t>
  </si>
  <si>
    <t>GUADALVERA</t>
  </si>
  <si>
    <t>TAVERNAL</t>
  </si>
  <si>
    <t>VILLASOL-C/PINTOR</t>
  </si>
  <si>
    <t>ALZANAR</t>
  </si>
  <si>
    <t>BURJALUZ</t>
  </si>
  <si>
    <t>BONVALL</t>
  </si>
  <si>
    <t>LA VELLA</t>
  </si>
  <si>
    <t>ORLANA</t>
  </si>
  <si>
    <t>AV. LUCERO</t>
  </si>
  <si>
    <t>LA MARINA</t>
  </si>
  <si>
    <t>ELVANIA II</t>
  </si>
  <si>
    <t>ALDARÍN-AVD AGUILERA</t>
  </si>
  <si>
    <t>CALDERA</t>
  </si>
  <si>
    <t>MONTIVENTO</t>
  </si>
  <si>
    <t>VILLARROSA</t>
  </si>
  <si>
    <t>ALDARÍN-CALLE ALEMANIA</t>
  </si>
  <si>
    <t>VALDIA-SAN RAFAEL</t>
  </si>
  <si>
    <t>VALNOVA-EDUARDO BOSCA</t>
  </si>
  <si>
    <t>NOVALBA</t>
  </si>
  <si>
    <t>MOLINA DEL RÍO</t>
  </si>
  <si>
    <t>BETANIA</t>
  </si>
  <si>
    <t>CIUDAD LUCÍA</t>
  </si>
  <si>
    <t>PINARET</t>
  </si>
  <si>
    <t>SANTA LUNA</t>
  </si>
  <si>
    <t>SAGARIA</t>
  </si>
  <si>
    <t>PEDRAVAL-JOAN CARLES I</t>
  </si>
  <si>
    <t>LA COLINA</t>
  </si>
  <si>
    <t>DENARIA PEDRERA</t>
  </si>
  <si>
    <t>VERDAL</t>
  </si>
  <si>
    <t>MONTECLARO</t>
  </si>
  <si>
    <t>CALPINA</t>
  </si>
  <si>
    <t>ALTOMAR-PUEBLO</t>
  </si>
  <si>
    <t>PEDRAVAL-SUPER 2</t>
  </si>
  <si>
    <t>ALTOMAR-PLAYA</t>
  </si>
  <si>
    <t>ALGARROSA</t>
  </si>
  <si>
    <t>ALCUBRIA</t>
  </si>
  <si>
    <t>SOLRIBA</t>
  </si>
  <si>
    <t>ALGAVERA</t>
  </si>
  <si>
    <t>DENARIA 1</t>
  </si>
  <si>
    <t>BENALUZ</t>
  </si>
  <si>
    <t>MARAZUL</t>
  </si>
  <si>
    <t>CALLOSA DEL VIENTO</t>
  </si>
  <si>
    <t>COSTABRISA-TOMAS ORTUÑO</t>
  </si>
  <si>
    <t>ALCAVERA</t>
  </si>
  <si>
    <t>BENIROCA</t>
  </si>
  <si>
    <t>XALORA</t>
  </si>
  <si>
    <t>GUARDALUZ</t>
  </si>
  <si>
    <t>OLIVAR</t>
  </si>
  <si>
    <t>PUZALBA</t>
  </si>
  <si>
    <t>GRAVALTA</t>
  </si>
  <si>
    <t>JOSE MARÍN</t>
  </si>
  <si>
    <t>RONDA ALBA</t>
  </si>
  <si>
    <t>FCO. VALLEJO</t>
  </si>
  <si>
    <t>JUAN ARENAS</t>
  </si>
  <si>
    <t>CAMINO REAL</t>
  </si>
  <si>
    <t>EL RISCO</t>
  </si>
  <si>
    <t>FALCONERA</t>
  </si>
  <si>
    <t>PAIS DEL SOL</t>
  </si>
  <si>
    <t>TORRELAGO</t>
  </si>
  <si>
    <t>CERAMISTA RUIZ</t>
  </si>
  <si>
    <t>SILLARES</t>
  </si>
  <si>
    <t>XABALIA-BORRULL</t>
  </si>
  <si>
    <t>CRTA. MONTEVERDE</t>
  </si>
  <si>
    <t>ALFAR DEL PI</t>
  </si>
  <si>
    <t>DENARIA 2</t>
  </si>
  <si>
    <t>ADUANES MAR</t>
  </si>
  <si>
    <t>PICAVERA</t>
  </si>
  <si>
    <t>R.DE MONTERA</t>
  </si>
  <si>
    <t>ALDORIA-SABADELL</t>
  </si>
  <si>
    <t>COCENVILLA-GORGA</t>
  </si>
  <si>
    <t>ALDORIA-SANTA ROSA</t>
  </si>
  <si>
    <t>S. LORENZO-VELAZQUEZ</t>
  </si>
  <si>
    <t>S. LORENZO-RIO TURIA</t>
  </si>
  <si>
    <t>S. LORENZO-YUNKE</t>
  </si>
  <si>
    <t>SABORES DEL LEVANTE, S.L.</t>
  </si>
  <si>
    <t>DISTRIBUCIONES MONTEVERDE, S.A.</t>
  </si>
  <si>
    <t>BEBIDAS ATLÁNTICA</t>
  </si>
  <si>
    <t>CERVEZAS COSTA DORADA M.P.</t>
  </si>
  <si>
    <t>DULCECAMPO - VALDIA</t>
  </si>
  <si>
    <t>DULCECAMPO - VILLAVERDE</t>
  </si>
  <si>
    <t>REPOSTERÍA DEL SOL, S.L.</t>
  </si>
  <si>
    <t>CEREALES IBÉRICOS, S.A.</t>
  </si>
  <si>
    <t>BODEGAS SIERRA AZUL, S.A.</t>
  </si>
  <si>
    <t>NOVA FOODS MANUFACTURING S.L.U.</t>
  </si>
  <si>
    <t>NOVA FOODS INFANTIL M.P.</t>
  </si>
  <si>
    <t>CENTRO ARTESANO</t>
  </si>
  <si>
    <t>VALMAR</t>
  </si>
  <si>
    <t>PUERTO BLANCO</t>
  </si>
  <si>
    <t>PUERTO DEL ESTE-SERRALBA</t>
  </si>
  <si>
    <t>ALDARÍN-ISLA ESMERALDA</t>
  </si>
  <si>
    <t>DENARIA-COSTA NORTE</t>
  </si>
  <si>
    <t>TORRES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</si>
</sst>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58549FE-39DB-4A1B-A345-E478D0BC04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23D96-F65C-45C7-801F-21D0A7F8C912}" name="Tabla1" displayName="Tabla1" ref="A1:D197" totalsRowShown="0" headerRowDxfId="5" dataDxfId="4">
  <autoFilter ref="A1:D197" xr:uid="{7F023D96-F65C-45C7-801F-21D0A7F8C912}"/>
  <sortState xmlns:xlrd2="http://schemas.microsoft.com/office/spreadsheetml/2017/richdata2" ref="A2:D197">
    <sortCondition ref="A1:A197"/>
  </sortState>
  <tableColumns count="4">
    <tableColumn id="1" xr3:uid="{12D50BAB-D842-4658-B34A-FD3DE724DCEC}" name="Tienda" dataDxfId="3"/>
    <tableColumn id="2" xr3:uid="{A1316AF2-36C0-4113-B03B-560241932BA4}" name="NOMBRE" dataDxfId="2"/>
    <tableColumn id="3" xr3:uid="{41814F33-292B-4B00-BDB9-22BDD317E3E0}" name="ZONA" dataDxfId="1"/>
    <tableColumn id="4" xr3:uid="{93B6F489-D5BB-4A92-8522-1D9A619DED98}" name="CHECK" dataDxfId="0">
      <calculatedColumnFormula>+IF(Tabla1[[#This Row],[Tienda]]&lt;&gt;"", IFERROR( VLOOKUP(Tabla1[[#This Row],[Tienda]],  Hoja1!A:A,   1,   0), "FALTA TIENDA"),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BE9E-DF51-4B87-8DD0-055A4DB00518}">
  <dimension ref="A1:O219"/>
  <sheetViews>
    <sheetView topLeftCell="A91" zoomScale="85" zoomScaleNormal="85" workbookViewId="0">
      <selection activeCell="M15" sqref="M15"/>
    </sheetView>
  </sheetViews>
  <sheetFormatPr baseColWidth="10" defaultRowHeight="15" x14ac:dyDescent="0.25"/>
  <cols>
    <col min="2" max="2" width="31.85546875" customWidth="1"/>
    <col min="3" max="5" width="6.85546875" customWidth="1"/>
    <col min="6" max="6" width="13.5703125" bestFit="1" customWidth="1"/>
    <col min="7" max="7" width="16.5703125" customWidth="1"/>
    <col min="8" max="9" width="5.5703125" customWidth="1"/>
    <col min="10" max="12" width="7.5703125" customWidth="1"/>
    <col min="13" max="13" width="27.85546875" bestFit="1" customWidth="1"/>
    <col min="14" max="14" width="13.140625" customWidth="1"/>
  </cols>
  <sheetData>
    <row r="1" spans="1:15" x14ac:dyDescent="0.25">
      <c r="A1" s="6" t="s">
        <v>45</v>
      </c>
      <c r="B1" s="6" t="s">
        <v>0</v>
      </c>
      <c r="C1" t="s">
        <v>9</v>
      </c>
      <c r="D1" t="s">
        <v>12</v>
      </c>
      <c r="E1" t="s">
        <v>11</v>
      </c>
      <c r="F1" t="s">
        <v>8</v>
      </c>
      <c r="G1" t="s">
        <v>7</v>
      </c>
      <c r="M1" t="s">
        <v>13</v>
      </c>
      <c r="N1" t="s">
        <v>15</v>
      </c>
      <c r="O1" t="s">
        <v>14</v>
      </c>
    </row>
    <row r="2" spans="1:15" x14ac:dyDescent="0.25">
      <c r="A2" s="7">
        <v>102</v>
      </c>
      <c r="B2" s="7" t="s">
        <v>46</v>
      </c>
      <c r="C2">
        <v>6</v>
      </c>
      <c r="D2">
        <v>5</v>
      </c>
      <c r="E2">
        <v>3</v>
      </c>
      <c r="F2" s="1">
        <f ca="1">TODAY()</f>
        <v>46196</v>
      </c>
      <c r="G2" t="str">
        <f>+VLOOKUP(A2,'maestro tiendas'!A:C, 3, 0)</f>
        <v>NOCTURNA</v>
      </c>
      <c r="M2" t="s">
        <v>151</v>
      </c>
      <c r="N2" t="s">
        <v>16</v>
      </c>
      <c r="O2">
        <v>1.17</v>
      </c>
    </row>
    <row r="3" spans="1:15" x14ac:dyDescent="0.25">
      <c r="A3" s="7">
        <v>103</v>
      </c>
      <c r="B3" s="7" t="s">
        <v>47</v>
      </c>
      <c r="C3">
        <v>8</v>
      </c>
      <c r="D3">
        <v>5</v>
      </c>
      <c r="E3">
        <v>2</v>
      </c>
      <c r="F3" s="1">
        <f t="shared" ref="F3:F66" ca="1" si="0">TODAY()</f>
        <v>46196</v>
      </c>
      <c r="G3" t="str">
        <f>+VLOOKUP(A3,'maestro tiendas'!A:C, 3, 0)</f>
        <v>ALICANTE</v>
      </c>
      <c r="M3" t="s">
        <v>151</v>
      </c>
      <c r="N3" t="s">
        <v>17</v>
      </c>
      <c r="O3">
        <v>0.23</v>
      </c>
    </row>
    <row r="4" spans="1:15" x14ac:dyDescent="0.25">
      <c r="A4" s="7">
        <v>104</v>
      </c>
      <c r="B4" s="7" t="s">
        <v>48</v>
      </c>
      <c r="C4">
        <v>8</v>
      </c>
      <c r="D4">
        <v>5</v>
      </c>
      <c r="E4">
        <v>2.5</v>
      </c>
      <c r="F4" s="1">
        <f t="shared" ca="1" si="0"/>
        <v>46196</v>
      </c>
      <c r="G4" t="str">
        <f>+VLOOKUP(A4,'maestro tiendas'!A:C, 3, 0)</f>
        <v>MURCIA</v>
      </c>
      <c r="M4" t="s">
        <v>152</v>
      </c>
      <c r="N4" t="s">
        <v>18</v>
      </c>
      <c r="O4">
        <v>3.39</v>
      </c>
    </row>
    <row r="5" spans="1:15" x14ac:dyDescent="0.25">
      <c r="A5" s="7">
        <v>105</v>
      </c>
      <c r="B5" s="7" t="s">
        <v>49</v>
      </c>
      <c r="C5">
        <v>8</v>
      </c>
      <c r="D5">
        <v>5</v>
      </c>
      <c r="E5">
        <v>2</v>
      </c>
      <c r="F5" s="1">
        <f t="shared" ca="1" si="0"/>
        <v>46196</v>
      </c>
      <c r="G5" t="str">
        <f>+VLOOKUP(A5,'maestro tiendas'!A:C, 3, 0)</f>
        <v>MURCIA</v>
      </c>
      <c r="M5" t="s">
        <v>153</v>
      </c>
      <c r="N5" t="s">
        <v>19</v>
      </c>
      <c r="O5">
        <v>29</v>
      </c>
    </row>
    <row r="6" spans="1:15" x14ac:dyDescent="0.25">
      <c r="A6" s="7">
        <v>107</v>
      </c>
      <c r="B6" s="7" t="s">
        <v>50</v>
      </c>
      <c r="C6">
        <v>7</v>
      </c>
      <c r="D6">
        <v>4</v>
      </c>
      <c r="E6">
        <v>3</v>
      </c>
      <c r="F6" s="1">
        <f t="shared" ca="1" si="0"/>
        <v>46196</v>
      </c>
      <c r="G6" t="str">
        <f>+VLOOKUP(A6,'maestro tiendas'!A:C, 3, 0)</f>
        <v>ALCOY</v>
      </c>
      <c r="M6" t="s">
        <v>154</v>
      </c>
      <c r="N6" t="s">
        <v>20</v>
      </c>
      <c r="O6">
        <v>16</v>
      </c>
    </row>
    <row r="7" spans="1:15" x14ac:dyDescent="0.25">
      <c r="A7" s="7">
        <v>108</v>
      </c>
      <c r="B7" s="7" t="s">
        <v>51</v>
      </c>
      <c r="C7">
        <v>6</v>
      </c>
      <c r="D7">
        <v>2</v>
      </c>
      <c r="E7">
        <v>2</v>
      </c>
      <c r="F7" s="1">
        <f t="shared" ca="1" si="0"/>
        <v>46196</v>
      </c>
      <c r="G7" t="str">
        <f>+VLOOKUP(A7,'maestro tiendas'!A:C, 3, 0)</f>
        <v>MURCIA</v>
      </c>
      <c r="M7" t="s">
        <v>155</v>
      </c>
      <c r="N7" t="s">
        <v>21</v>
      </c>
      <c r="O7">
        <v>44.44</v>
      </c>
    </row>
    <row r="8" spans="1:15" x14ac:dyDescent="0.25">
      <c r="A8" s="7">
        <v>109</v>
      </c>
      <c r="B8" s="7" t="s">
        <v>52</v>
      </c>
      <c r="C8">
        <v>8</v>
      </c>
      <c r="D8">
        <v>5</v>
      </c>
      <c r="E8">
        <v>3.5</v>
      </c>
      <c r="F8" s="1">
        <f t="shared" ca="1" si="0"/>
        <v>46196</v>
      </c>
      <c r="G8" t="str">
        <f>+VLOOKUP(A8,'maestro tiendas'!A:C, 3, 0)</f>
        <v>SAN VICENTE</v>
      </c>
      <c r="M8" t="s">
        <v>155</v>
      </c>
      <c r="N8" t="s">
        <v>22</v>
      </c>
      <c r="O8">
        <v>41.25</v>
      </c>
    </row>
    <row r="9" spans="1:15" x14ac:dyDescent="0.25">
      <c r="A9" s="7">
        <v>11</v>
      </c>
      <c r="B9" s="7" t="s">
        <v>53</v>
      </c>
      <c r="C9">
        <v>8</v>
      </c>
      <c r="D9">
        <v>2</v>
      </c>
      <c r="E9">
        <v>3</v>
      </c>
      <c r="F9" s="1">
        <f t="shared" ca="1" si="0"/>
        <v>46196</v>
      </c>
      <c r="G9" t="str">
        <f>+VLOOKUP(A9,'maestro tiendas'!A:C, 3, 0)</f>
        <v>VALENCIA</v>
      </c>
      <c r="M9" t="s">
        <v>156</v>
      </c>
      <c r="N9" t="s">
        <v>23</v>
      </c>
      <c r="O9">
        <v>4.43</v>
      </c>
    </row>
    <row r="10" spans="1:15" x14ac:dyDescent="0.25">
      <c r="A10" s="7">
        <v>110</v>
      </c>
      <c r="B10" s="7" t="s">
        <v>54</v>
      </c>
      <c r="C10">
        <v>8</v>
      </c>
      <c r="D10">
        <v>4</v>
      </c>
      <c r="E10">
        <v>2</v>
      </c>
      <c r="F10" s="1">
        <f t="shared" ca="1" si="0"/>
        <v>46196</v>
      </c>
      <c r="G10" t="str">
        <f>+VLOOKUP(A10,'maestro tiendas'!A:C, 3, 0)</f>
        <v>NORTE</v>
      </c>
      <c r="M10" t="s">
        <v>156</v>
      </c>
      <c r="N10" t="s">
        <v>24</v>
      </c>
      <c r="O10">
        <v>2</v>
      </c>
    </row>
    <row r="11" spans="1:15" x14ac:dyDescent="0.25">
      <c r="A11" s="7">
        <v>114</v>
      </c>
      <c r="B11" s="7" t="s">
        <v>55</v>
      </c>
      <c r="C11">
        <v>8</v>
      </c>
      <c r="D11">
        <v>5</v>
      </c>
      <c r="E11">
        <v>2</v>
      </c>
      <c r="F11" s="1">
        <f t="shared" ca="1" si="0"/>
        <v>46196</v>
      </c>
      <c r="G11" t="str">
        <f>+VLOOKUP(A11,'maestro tiendas'!A:C, 3, 0)</f>
        <v>ALICANTE</v>
      </c>
      <c r="M11" t="s">
        <v>156</v>
      </c>
      <c r="N11" t="s">
        <v>25</v>
      </c>
      <c r="O11">
        <v>1.43</v>
      </c>
    </row>
    <row r="12" spans="1:15" x14ac:dyDescent="0.25">
      <c r="A12" s="7">
        <v>115</v>
      </c>
      <c r="B12" s="7" t="s">
        <v>56</v>
      </c>
      <c r="C12">
        <v>5</v>
      </c>
      <c r="D12">
        <v>3</v>
      </c>
      <c r="E12">
        <v>0</v>
      </c>
      <c r="F12" s="1">
        <f t="shared" ca="1" si="0"/>
        <v>46196</v>
      </c>
      <c r="G12" t="str">
        <f>+VLOOKUP(A12,'maestro tiendas'!A:C, 3, 0)</f>
        <v>ALICANTE</v>
      </c>
      <c r="M12" t="s">
        <v>156</v>
      </c>
      <c r="N12" t="s">
        <v>26</v>
      </c>
      <c r="O12">
        <v>6</v>
      </c>
    </row>
    <row r="13" spans="1:15" x14ac:dyDescent="0.25">
      <c r="A13" s="7">
        <v>116</v>
      </c>
      <c r="B13" s="7" t="s">
        <v>57</v>
      </c>
      <c r="C13">
        <v>8</v>
      </c>
      <c r="D13">
        <v>2</v>
      </c>
      <c r="E13">
        <v>1</v>
      </c>
      <c r="F13" s="1">
        <f t="shared" ca="1" si="0"/>
        <v>46196</v>
      </c>
      <c r="G13" t="str">
        <f>+VLOOKUP(A13,'maestro tiendas'!A:C, 3, 0)</f>
        <v>ALICANTE</v>
      </c>
      <c r="M13" t="s">
        <v>156</v>
      </c>
      <c r="N13" t="s">
        <v>27</v>
      </c>
      <c r="O13">
        <v>13.71</v>
      </c>
    </row>
    <row r="14" spans="1:15" x14ac:dyDescent="0.25">
      <c r="A14" s="7">
        <v>120</v>
      </c>
      <c r="B14" s="7" t="s">
        <v>58</v>
      </c>
      <c r="C14">
        <v>8</v>
      </c>
      <c r="D14">
        <v>2</v>
      </c>
      <c r="E14">
        <v>2</v>
      </c>
      <c r="F14" s="1">
        <f t="shared" ca="1" si="0"/>
        <v>46196</v>
      </c>
      <c r="G14" t="str">
        <f>+VLOOKUP(A14,'maestro tiendas'!A:C, 3, 0)</f>
        <v>NOCTURNA</v>
      </c>
      <c r="M14" t="s">
        <v>156</v>
      </c>
      <c r="N14" t="s">
        <v>28</v>
      </c>
      <c r="O14">
        <v>37</v>
      </c>
    </row>
    <row r="15" spans="1:15" x14ac:dyDescent="0.25">
      <c r="A15" s="7">
        <v>121</v>
      </c>
      <c r="B15" s="7" t="s">
        <v>59</v>
      </c>
      <c r="C15">
        <v>5</v>
      </c>
      <c r="D15">
        <v>3</v>
      </c>
      <c r="E15">
        <v>1</v>
      </c>
      <c r="F15" s="1">
        <f t="shared" ca="1" si="0"/>
        <v>46196</v>
      </c>
      <c r="G15" t="str">
        <f>+VLOOKUP(A15,'maestro tiendas'!A:C, 3, 0)</f>
        <v>ALICANTE</v>
      </c>
      <c r="M15" t="s">
        <v>157</v>
      </c>
      <c r="N15" t="s">
        <v>29</v>
      </c>
      <c r="O15">
        <v>0.43</v>
      </c>
    </row>
    <row r="16" spans="1:15" x14ac:dyDescent="0.25">
      <c r="A16" s="7">
        <v>123</v>
      </c>
      <c r="B16" s="7" t="s">
        <v>60</v>
      </c>
      <c r="C16">
        <v>7</v>
      </c>
      <c r="D16">
        <v>5</v>
      </c>
      <c r="E16">
        <v>0</v>
      </c>
      <c r="F16" s="1">
        <f t="shared" ca="1" si="0"/>
        <v>46196</v>
      </c>
      <c r="G16" t="str">
        <f>+VLOOKUP(A16,'maestro tiendas'!A:C, 3, 0)</f>
        <v>MURCIA</v>
      </c>
      <c r="M16" t="s">
        <v>158</v>
      </c>
      <c r="N16" t="s">
        <v>30</v>
      </c>
      <c r="O16">
        <v>23</v>
      </c>
    </row>
    <row r="17" spans="1:15" x14ac:dyDescent="0.25">
      <c r="A17" s="7">
        <v>124</v>
      </c>
      <c r="B17" s="7" t="s">
        <v>61</v>
      </c>
      <c r="C17">
        <v>5</v>
      </c>
      <c r="D17">
        <v>4</v>
      </c>
      <c r="E17">
        <v>1</v>
      </c>
      <c r="F17" s="1">
        <f t="shared" ca="1" si="0"/>
        <v>46196</v>
      </c>
      <c r="G17" t="str">
        <f>+VLOOKUP(A17,'maestro tiendas'!A:C, 3, 0)</f>
        <v>ALICANTE</v>
      </c>
      <c r="M17" t="s">
        <v>158</v>
      </c>
      <c r="N17" t="s">
        <v>31</v>
      </c>
      <c r="O17">
        <v>3</v>
      </c>
    </row>
    <row r="18" spans="1:15" x14ac:dyDescent="0.25">
      <c r="A18" s="7">
        <v>125</v>
      </c>
      <c r="B18" s="7" t="s">
        <v>62</v>
      </c>
      <c r="C18">
        <v>6</v>
      </c>
      <c r="D18">
        <v>4</v>
      </c>
      <c r="E18">
        <v>3</v>
      </c>
      <c r="F18" s="1">
        <f t="shared" ca="1" si="0"/>
        <v>46196</v>
      </c>
      <c r="G18" t="str">
        <f>+VLOOKUP(A18,'maestro tiendas'!A:C, 3, 0)</f>
        <v>VALENCIA</v>
      </c>
      <c r="M18" t="s">
        <v>159</v>
      </c>
      <c r="N18" t="s">
        <v>32</v>
      </c>
      <c r="O18">
        <v>28.05</v>
      </c>
    </row>
    <row r="19" spans="1:15" x14ac:dyDescent="0.25">
      <c r="A19" s="7">
        <v>126</v>
      </c>
      <c r="B19" s="7" t="s">
        <v>63</v>
      </c>
      <c r="C19">
        <v>6</v>
      </c>
      <c r="D19">
        <v>4</v>
      </c>
      <c r="E19">
        <v>3</v>
      </c>
      <c r="F19" s="1">
        <f t="shared" ca="1" si="0"/>
        <v>46196</v>
      </c>
      <c r="G19" t="str">
        <f>+VLOOKUP(A19,'maestro tiendas'!A:C, 3, 0)</f>
        <v>VALENCIA</v>
      </c>
      <c r="M19" t="s">
        <v>160</v>
      </c>
      <c r="N19" t="s">
        <v>33</v>
      </c>
      <c r="O19">
        <v>11.24</v>
      </c>
    </row>
    <row r="20" spans="1:15" x14ac:dyDescent="0.25">
      <c r="A20" s="7">
        <v>127</v>
      </c>
      <c r="B20" s="7" t="s">
        <v>64</v>
      </c>
      <c r="C20">
        <v>8</v>
      </c>
      <c r="D20">
        <v>2</v>
      </c>
      <c r="E20">
        <v>0</v>
      </c>
      <c r="F20" s="1">
        <f t="shared" ca="1" si="0"/>
        <v>46196</v>
      </c>
      <c r="G20" t="str">
        <f>+VLOOKUP(A20,'maestro tiendas'!A:C, 3, 0)</f>
        <v>VALENCIA</v>
      </c>
      <c r="M20" t="s">
        <v>160</v>
      </c>
      <c r="N20" t="s">
        <v>34</v>
      </c>
      <c r="O20">
        <v>1</v>
      </c>
    </row>
    <row r="21" spans="1:15" x14ac:dyDescent="0.25">
      <c r="A21" s="7">
        <v>129</v>
      </c>
      <c r="B21" s="7" t="s">
        <v>65</v>
      </c>
      <c r="C21">
        <v>8</v>
      </c>
      <c r="D21">
        <v>3</v>
      </c>
      <c r="E21">
        <v>0</v>
      </c>
      <c r="F21" s="1">
        <f t="shared" ca="1" si="0"/>
        <v>46196</v>
      </c>
      <c r="G21" t="str">
        <f>+VLOOKUP(A21,'maestro tiendas'!A:C, 3, 0)</f>
        <v>VALENCIA</v>
      </c>
      <c r="M21" t="s">
        <v>160</v>
      </c>
      <c r="N21" t="s">
        <v>35</v>
      </c>
      <c r="O21">
        <v>1</v>
      </c>
    </row>
    <row r="22" spans="1:15" x14ac:dyDescent="0.25">
      <c r="A22" s="7">
        <v>130</v>
      </c>
      <c r="B22" s="7" t="s">
        <v>66</v>
      </c>
      <c r="C22">
        <v>5</v>
      </c>
      <c r="D22">
        <v>4</v>
      </c>
      <c r="E22">
        <v>1</v>
      </c>
      <c r="F22" s="1">
        <f t="shared" ca="1" si="0"/>
        <v>46196</v>
      </c>
      <c r="G22" t="str">
        <f>+VLOOKUP(A22,'maestro tiendas'!A:C, 3, 0)</f>
        <v>SAN VICENTE</v>
      </c>
      <c r="M22" t="s">
        <v>160</v>
      </c>
      <c r="N22" t="s">
        <v>36</v>
      </c>
      <c r="O22">
        <v>2</v>
      </c>
    </row>
    <row r="23" spans="1:15" x14ac:dyDescent="0.25">
      <c r="A23" s="7">
        <v>132</v>
      </c>
      <c r="B23" s="7" t="s">
        <v>67</v>
      </c>
      <c r="C23">
        <v>8</v>
      </c>
      <c r="D23">
        <v>3</v>
      </c>
      <c r="E23">
        <v>2</v>
      </c>
      <c r="F23" s="1">
        <f t="shared" ca="1" si="0"/>
        <v>46196</v>
      </c>
      <c r="G23" t="str">
        <f>+VLOOKUP(A23,'maestro tiendas'!A:C, 3, 0)</f>
        <v>NORTE</v>
      </c>
      <c r="M23" t="s">
        <v>161</v>
      </c>
      <c r="N23" t="s">
        <v>37</v>
      </c>
      <c r="O23">
        <v>0.17</v>
      </c>
    </row>
    <row r="24" spans="1:15" x14ac:dyDescent="0.25">
      <c r="A24" s="7">
        <v>133</v>
      </c>
      <c r="B24" s="7" t="s">
        <v>68</v>
      </c>
      <c r="C24">
        <v>5</v>
      </c>
      <c r="D24">
        <v>5</v>
      </c>
      <c r="E24">
        <v>3</v>
      </c>
      <c r="F24" s="1">
        <f t="shared" ca="1" si="0"/>
        <v>46196</v>
      </c>
      <c r="G24" t="str">
        <f>+VLOOKUP(A24,'maestro tiendas'!A:C, 3, 0)</f>
        <v>MURCIA</v>
      </c>
    </row>
    <row r="25" spans="1:15" x14ac:dyDescent="0.25">
      <c r="A25" s="7">
        <v>134</v>
      </c>
      <c r="B25" s="7" t="s">
        <v>69</v>
      </c>
      <c r="C25">
        <v>8</v>
      </c>
      <c r="D25">
        <v>5</v>
      </c>
      <c r="E25">
        <v>0</v>
      </c>
      <c r="F25" s="1">
        <f t="shared" ca="1" si="0"/>
        <v>46196</v>
      </c>
      <c r="G25" t="str">
        <f>+VLOOKUP(A25,'maestro tiendas'!A:C, 3, 0)</f>
        <v>MURCIA</v>
      </c>
    </row>
    <row r="26" spans="1:15" x14ac:dyDescent="0.25">
      <c r="A26" s="7">
        <v>137</v>
      </c>
      <c r="B26" s="7" t="s">
        <v>70</v>
      </c>
      <c r="C26">
        <v>6</v>
      </c>
      <c r="D26">
        <v>2</v>
      </c>
      <c r="E26">
        <v>2</v>
      </c>
      <c r="F26" s="1">
        <f t="shared" ca="1" si="0"/>
        <v>46196</v>
      </c>
      <c r="G26" t="str">
        <f>+VLOOKUP(A26,'maestro tiendas'!A:C, 3, 0)</f>
        <v>CASTELLON</v>
      </c>
    </row>
    <row r="27" spans="1:15" x14ac:dyDescent="0.25">
      <c r="A27" s="7">
        <v>138</v>
      </c>
      <c r="B27" s="7" t="s">
        <v>71</v>
      </c>
      <c r="C27">
        <v>7</v>
      </c>
      <c r="D27">
        <v>3</v>
      </c>
      <c r="E27">
        <v>1</v>
      </c>
      <c r="F27" s="1">
        <f t="shared" ca="1" si="0"/>
        <v>46196</v>
      </c>
      <c r="G27" t="str">
        <f>+VLOOKUP(A27,'maestro tiendas'!A:C, 3, 0)</f>
        <v>CASTELLON</v>
      </c>
    </row>
    <row r="28" spans="1:15" x14ac:dyDescent="0.25">
      <c r="A28" s="7">
        <v>139</v>
      </c>
      <c r="B28" s="7" t="s">
        <v>72</v>
      </c>
      <c r="C28">
        <v>7</v>
      </c>
      <c r="D28">
        <v>5</v>
      </c>
      <c r="E28">
        <v>0</v>
      </c>
      <c r="F28" s="1">
        <f t="shared" ca="1" si="0"/>
        <v>46196</v>
      </c>
      <c r="G28" t="str">
        <f>+VLOOKUP(A28,'maestro tiendas'!A:C, 3, 0)</f>
        <v>VALENCIA</v>
      </c>
    </row>
    <row r="29" spans="1:15" x14ac:dyDescent="0.25">
      <c r="A29" s="7">
        <v>14</v>
      </c>
      <c r="B29" s="7" t="s">
        <v>73</v>
      </c>
      <c r="C29">
        <v>8</v>
      </c>
      <c r="D29">
        <v>3</v>
      </c>
      <c r="E29">
        <v>0</v>
      </c>
      <c r="F29" s="1">
        <f t="shared" ca="1" si="0"/>
        <v>46196</v>
      </c>
      <c r="G29" t="str">
        <f>+VLOOKUP(A29,'maestro tiendas'!A:C, 3, 0)</f>
        <v>ALICANTE</v>
      </c>
    </row>
    <row r="30" spans="1:15" x14ac:dyDescent="0.25">
      <c r="A30" s="7">
        <v>140</v>
      </c>
      <c r="B30" s="7" t="s">
        <v>74</v>
      </c>
      <c r="C30">
        <v>8</v>
      </c>
      <c r="D30">
        <v>5</v>
      </c>
      <c r="E30">
        <v>3</v>
      </c>
      <c r="F30" s="1">
        <f t="shared" ca="1" si="0"/>
        <v>46196</v>
      </c>
      <c r="G30" t="str">
        <f>+VLOOKUP(A30,'maestro tiendas'!A:C, 3, 0)</f>
        <v>VALENCIA</v>
      </c>
    </row>
    <row r="31" spans="1:15" x14ac:dyDescent="0.25">
      <c r="A31" s="7">
        <v>144</v>
      </c>
      <c r="B31" s="7" t="s">
        <v>75</v>
      </c>
      <c r="C31">
        <v>5</v>
      </c>
      <c r="D31">
        <v>2</v>
      </c>
      <c r="E31">
        <v>2</v>
      </c>
      <c r="F31" s="1">
        <f t="shared" ca="1" si="0"/>
        <v>46196</v>
      </c>
      <c r="G31" t="str">
        <f>+VLOOKUP(A31,'maestro tiendas'!A:C, 3, 0)</f>
        <v>VALENCIA</v>
      </c>
    </row>
    <row r="32" spans="1:15" x14ac:dyDescent="0.25">
      <c r="A32" s="7">
        <v>146</v>
      </c>
      <c r="B32" s="7" t="s">
        <v>76</v>
      </c>
      <c r="C32">
        <v>5</v>
      </c>
      <c r="D32">
        <v>2</v>
      </c>
      <c r="E32">
        <v>3</v>
      </c>
      <c r="F32" s="1">
        <f t="shared" ca="1" si="0"/>
        <v>46196</v>
      </c>
      <c r="G32" t="str">
        <f>+VLOOKUP(A32,'maestro tiendas'!A:C, 3, 0)</f>
        <v>VALENCIA</v>
      </c>
    </row>
    <row r="33" spans="1:7" x14ac:dyDescent="0.25">
      <c r="A33" s="7">
        <v>147</v>
      </c>
      <c r="B33" s="7" t="s">
        <v>77</v>
      </c>
      <c r="C33">
        <v>8</v>
      </c>
      <c r="D33">
        <v>3</v>
      </c>
      <c r="E33">
        <v>3</v>
      </c>
      <c r="F33" s="1">
        <f t="shared" ca="1" si="0"/>
        <v>46196</v>
      </c>
      <c r="G33" t="str">
        <f>+VLOOKUP(A33,'maestro tiendas'!A:C, 3, 0)</f>
        <v>VALENCIA</v>
      </c>
    </row>
    <row r="34" spans="1:7" x14ac:dyDescent="0.25">
      <c r="A34" s="7">
        <v>148</v>
      </c>
      <c r="B34" s="7" t="s">
        <v>78</v>
      </c>
      <c r="C34">
        <v>8</v>
      </c>
      <c r="D34">
        <v>5</v>
      </c>
      <c r="E34">
        <v>2</v>
      </c>
      <c r="F34" s="1">
        <f t="shared" ca="1" si="0"/>
        <v>46196</v>
      </c>
      <c r="G34" t="str">
        <f>+VLOOKUP(A34,'maestro tiendas'!A:C, 3, 0)</f>
        <v>VALENCIA</v>
      </c>
    </row>
    <row r="35" spans="1:7" x14ac:dyDescent="0.25">
      <c r="A35" s="7">
        <v>151</v>
      </c>
      <c r="B35" s="7" t="s">
        <v>79</v>
      </c>
      <c r="C35">
        <v>7</v>
      </c>
      <c r="D35">
        <v>5</v>
      </c>
      <c r="E35">
        <v>1.5</v>
      </c>
      <c r="F35" s="1">
        <f t="shared" ca="1" si="0"/>
        <v>46196</v>
      </c>
      <c r="G35" t="str">
        <f>+VLOOKUP(A35,'maestro tiendas'!A:C, 3, 0)</f>
        <v>SAN VICENTE</v>
      </c>
    </row>
    <row r="36" spans="1:7" x14ac:dyDescent="0.25">
      <c r="A36" s="7">
        <v>155</v>
      </c>
      <c r="B36" s="7" t="s">
        <v>80</v>
      </c>
      <c r="C36">
        <v>8.5</v>
      </c>
      <c r="D36">
        <v>3</v>
      </c>
      <c r="E36">
        <v>1</v>
      </c>
      <c r="F36" s="1">
        <f t="shared" ca="1" si="0"/>
        <v>46196</v>
      </c>
      <c r="G36" t="str">
        <f>+VLOOKUP(A36,'maestro tiendas'!A:C, 3, 0)</f>
        <v>VALENCIA</v>
      </c>
    </row>
    <row r="37" spans="1:7" x14ac:dyDescent="0.25">
      <c r="A37" s="7">
        <v>156</v>
      </c>
      <c r="B37" s="7" t="s">
        <v>81</v>
      </c>
      <c r="C37">
        <v>8</v>
      </c>
      <c r="D37">
        <v>2</v>
      </c>
      <c r="E37">
        <v>0</v>
      </c>
      <c r="F37" s="1">
        <f t="shared" ca="1" si="0"/>
        <v>46196</v>
      </c>
      <c r="G37" t="str">
        <f>+VLOOKUP(A37,'maestro tiendas'!A:C, 3, 0)</f>
        <v>VALENCIA</v>
      </c>
    </row>
    <row r="38" spans="1:7" x14ac:dyDescent="0.25">
      <c r="A38" s="7">
        <v>158</v>
      </c>
      <c r="B38" s="7" t="s">
        <v>82</v>
      </c>
      <c r="C38">
        <v>7</v>
      </c>
      <c r="D38">
        <v>2</v>
      </c>
      <c r="E38">
        <v>0</v>
      </c>
      <c r="F38" s="1">
        <f t="shared" ca="1" si="0"/>
        <v>46196</v>
      </c>
      <c r="G38" t="str">
        <f>+VLOOKUP(A38,'maestro tiendas'!A:C, 3, 0)</f>
        <v>VALENCIA</v>
      </c>
    </row>
    <row r="39" spans="1:7" x14ac:dyDescent="0.25">
      <c r="A39" s="7">
        <v>16</v>
      </c>
      <c r="B39" s="7" t="s">
        <v>83</v>
      </c>
      <c r="C39">
        <v>5</v>
      </c>
      <c r="D39">
        <v>3</v>
      </c>
      <c r="E39">
        <v>2</v>
      </c>
      <c r="F39" s="1">
        <f t="shared" ca="1" si="0"/>
        <v>46196</v>
      </c>
      <c r="G39" t="str">
        <f>+VLOOKUP(A39,'maestro tiendas'!A:C, 3, 0)</f>
        <v>ALICANTE</v>
      </c>
    </row>
    <row r="40" spans="1:7" x14ac:dyDescent="0.25">
      <c r="A40" s="7">
        <v>161</v>
      </c>
      <c r="B40" s="7" t="s">
        <v>84</v>
      </c>
      <c r="C40">
        <v>6</v>
      </c>
      <c r="D40">
        <v>3</v>
      </c>
      <c r="E40">
        <v>2</v>
      </c>
      <c r="F40" s="1">
        <f t="shared" ca="1" si="0"/>
        <v>46196</v>
      </c>
      <c r="G40" t="str">
        <f>+VLOOKUP(A40,'maestro tiendas'!A:C, 3, 0)</f>
        <v>ALICANTE</v>
      </c>
    </row>
    <row r="41" spans="1:7" x14ac:dyDescent="0.25">
      <c r="A41" s="7">
        <v>162</v>
      </c>
      <c r="B41" s="7" t="s">
        <v>85</v>
      </c>
      <c r="C41">
        <v>6</v>
      </c>
      <c r="D41">
        <v>4</v>
      </c>
      <c r="E41">
        <v>3</v>
      </c>
      <c r="F41" s="1">
        <f t="shared" ca="1" si="0"/>
        <v>46196</v>
      </c>
      <c r="G41" t="str">
        <f>+VLOOKUP(A41,'maestro tiendas'!A:C, 3, 0)</f>
        <v>VALENCIA</v>
      </c>
    </row>
    <row r="42" spans="1:7" x14ac:dyDescent="0.25">
      <c r="A42" s="7">
        <v>163</v>
      </c>
      <c r="B42" s="7" t="s">
        <v>86</v>
      </c>
      <c r="C42">
        <v>6</v>
      </c>
      <c r="D42">
        <v>2</v>
      </c>
      <c r="E42">
        <v>3</v>
      </c>
      <c r="F42" s="1">
        <f t="shared" ca="1" si="0"/>
        <v>46196</v>
      </c>
      <c r="G42" t="str">
        <f>+VLOOKUP(A42,'maestro tiendas'!A:C, 3, 0)</f>
        <v>ALICANTE</v>
      </c>
    </row>
    <row r="43" spans="1:7" x14ac:dyDescent="0.25">
      <c r="A43" s="7">
        <v>166</v>
      </c>
      <c r="B43" s="7" t="s">
        <v>87</v>
      </c>
      <c r="C43">
        <v>6</v>
      </c>
      <c r="D43">
        <v>3</v>
      </c>
      <c r="E43">
        <v>3</v>
      </c>
      <c r="F43" s="1">
        <f t="shared" ca="1" si="0"/>
        <v>46196</v>
      </c>
      <c r="G43" t="str">
        <f>+VLOOKUP(A43,'maestro tiendas'!A:C, 3, 0)</f>
        <v>MURCIA</v>
      </c>
    </row>
    <row r="44" spans="1:7" x14ac:dyDescent="0.25">
      <c r="A44" s="7">
        <v>167</v>
      </c>
      <c r="B44" s="7" t="s">
        <v>88</v>
      </c>
      <c r="C44">
        <v>5</v>
      </c>
      <c r="D44">
        <v>3</v>
      </c>
      <c r="E44">
        <v>1</v>
      </c>
      <c r="F44" s="1">
        <f t="shared" ca="1" si="0"/>
        <v>46196</v>
      </c>
      <c r="G44" t="str">
        <f>+VLOOKUP(A44,'maestro tiendas'!A:C, 3, 0)</f>
        <v>SAN VICENTE</v>
      </c>
    </row>
    <row r="45" spans="1:7" x14ac:dyDescent="0.25">
      <c r="A45" s="7">
        <v>168</v>
      </c>
      <c r="B45" s="7" t="s">
        <v>89</v>
      </c>
      <c r="C45">
        <v>8</v>
      </c>
      <c r="D45">
        <v>3</v>
      </c>
      <c r="E45">
        <v>2</v>
      </c>
      <c r="F45" s="1">
        <f t="shared" ca="1" si="0"/>
        <v>46196</v>
      </c>
      <c r="G45" t="str">
        <f>+VLOOKUP(A45,'maestro tiendas'!A:C, 3, 0)</f>
        <v>CASTELLON</v>
      </c>
    </row>
    <row r="46" spans="1:7" x14ac:dyDescent="0.25">
      <c r="A46" s="7">
        <v>17</v>
      </c>
      <c r="B46" s="7" t="s">
        <v>90</v>
      </c>
      <c r="C46">
        <v>6</v>
      </c>
      <c r="D46">
        <v>3</v>
      </c>
      <c r="E46">
        <v>0</v>
      </c>
      <c r="F46" s="1">
        <f t="shared" ca="1" si="0"/>
        <v>46196</v>
      </c>
      <c r="G46" t="str">
        <f>+VLOOKUP(A46,'maestro tiendas'!A:C, 3, 0)</f>
        <v>VALENCIA</v>
      </c>
    </row>
    <row r="47" spans="1:7" x14ac:dyDescent="0.25">
      <c r="A47" s="7">
        <v>171</v>
      </c>
      <c r="B47" s="7" t="s">
        <v>91</v>
      </c>
      <c r="C47">
        <v>7</v>
      </c>
      <c r="D47">
        <v>2</v>
      </c>
      <c r="E47">
        <v>3</v>
      </c>
      <c r="F47" s="1">
        <f t="shared" ca="1" si="0"/>
        <v>46196</v>
      </c>
      <c r="G47" t="str">
        <f>+VLOOKUP(A47,'maestro tiendas'!A:C, 3, 0)</f>
        <v>CASTELLON</v>
      </c>
    </row>
    <row r="48" spans="1:7" x14ac:dyDescent="0.25">
      <c r="A48" s="7">
        <v>173</v>
      </c>
      <c r="B48" s="7" t="s">
        <v>92</v>
      </c>
      <c r="C48">
        <v>6</v>
      </c>
      <c r="D48">
        <v>5</v>
      </c>
      <c r="E48">
        <v>2</v>
      </c>
      <c r="F48" s="1">
        <f t="shared" ca="1" si="0"/>
        <v>46196</v>
      </c>
      <c r="G48" t="str">
        <f>+VLOOKUP(A48,'maestro tiendas'!A:C, 3, 0)</f>
        <v>SAN VICENTE</v>
      </c>
    </row>
    <row r="49" spans="1:7" x14ac:dyDescent="0.25">
      <c r="A49" s="7">
        <v>174</v>
      </c>
      <c r="B49" s="7" t="s">
        <v>93</v>
      </c>
      <c r="C49">
        <v>8</v>
      </c>
      <c r="D49">
        <v>4</v>
      </c>
      <c r="E49">
        <v>1</v>
      </c>
      <c r="F49" s="1">
        <f t="shared" ca="1" si="0"/>
        <v>46196</v>
      </c>
      <c r="G49" t="str">
        <f>+VLOOKUP(A49,'maestro tiendas'!A:C, 3, 0)</f>
        <v>VALENCIA</v>
      </c>
    </row>
    <row r="50" spans="1:7" x14ac:dyDescent="0.25">
      <c r="A50" s="7">
        <v>175</v>
      </c>
      <c r="B50" s="7" t="s">
        <v>94</v>
      </c>
      <c r="C50">
        <v>6</v>
      </c>
      <c r="D50">
        <v>3</v>
      </c>
      <c r="E50">
        <v>2</v>
      </c>
      <c r="F50" s="1">
        <f t="shared" ca="1" si="0"/>
        <v>46196</v>
      </c>
      <c r="G50" t="str">
        <f>+VLOOKUP(A50,'maestro tiendas'!A:C, 3, 0)</f>
        <v>VALENCIA</v>
      </c>
    </row>
    <row r="51" spans="1:7" x14ac:dyDescent="0.25">
      <c r="A51" s="7">
        <v>176</v>
      </c>
      <c r="B51" s="7" t="s">
        <v>95</v>
      </c>
      <c r="C51">
        <v>7</v>
      </c>
      <c r="D51">
        <v>4</v>
      </c>
      <c r="E51">
        <v>2</v>
      </c>
      <c r="F51" s="1">
        <f t="shared" ca="1" si="0"/>
        <v>46196</v>
      </c>
      <c r="G51" t="str">
        <f>+VLOOKUP(A51,'maestro tiendas'!A:C, 3, 0)</f>
        <v>MURCIA</v>
      </c>
    </row>
    <row r="52" spans="1:7" x14ac:dyDescent="0.25">
      <c r="A52" s="7">
        <v>177</v>
      </c>
      <c r="B52" s="7" t="s">
        <v>96</v>
      </c>
      <c r="C52">
        <v>5</v>
      </c>
      <c r="D52">
        <v>5</v>
      </c>
      <c r="E52">
        <v>2</v>
      </c>
      <c r="F52" s="1">
        <f t="shared" ca="1" si="0"/>
        <v>46196</v>
      </c>
      <c r="G52" t="str">
        <f>+VLOOKUP(A52,'maestro tiendas'!A:C, 3, 0)</f>
        <v>NORTE</v>
      </c>
    </row>
    <row r="53" spans="1:7" x14ac:dyDescent="0.25">
      <c r="A53" s="7">
        <v>179</v>
      </c>
      <c r="B53" s="7" t="s">
        <v>97</v>
      </c>
      <c r="C53">
        <v>15</v>
      </c>
      <c r="D53">
        <v>13</v>
      </c>
      <c r="E53">
        <v>5</v>
      </c>
      <c r="F53" s="1">
        <f t="shared" ca="1" si="0"/>
        <v>46196</v>
      </c>
      <c r="G53" t="str">
        <f>+VLOOKUP(A53,'maestro tiendas'!A:C, 3, 0)</f>
        <v>VALENCIA</v>
      </c>
    </row>
    <row r="54" spans="1:7" x14ac:dyDescent="0.25">
      <c r="A54" s="7">
        <v>180</v>
      </c>
      <c r="B54" s="7" t="s">
        <v>98</v>
      </c>
      <c r="C54">
        <v>7</v>
      </c>
      <c r="D54">
        <v>5</v>
      </c>
      <c r="E54">
        <v>0</v>
      </c>
      <c r="F54" s="1">
        <f t="shared" ca="1" si="0"/>
        <v>46196</v>
      </c>
      <c r="G54" t="str">
        <f>+VLOOKUP(A54,'maestro tiendas'!A:C, 3, 0)</f>
        <v>NORTE</v>
      </c>
    </row>
    <row r="55" spans="1:7" x14ac:dyDescent="0.25">
      <c r="A55" s="7">
        <v>182</v>
      </c>
      <c r="B55" s="7" t="s">
        <v>99</v>
      </c>
      <c r="C55">
        <v>7</v>
      </c>
      <c r="D55">
        <v>4</v>
      </c>
      <c r="E55">
        <v>0</v>
      </c>
      <c r="F55" s="1">
        <f t="shared" ca="1" si="0"/>
        <v>46196</v>
      </c>
      <c r="G55" t="str">
        <f>+VLOOKUP(A55,'maestro tiendas'!A:C, 3, 0)</f>
        <v>VALENCIA</v>
      </c>
    </row>
    <row r="56" spans="1:7" x14ac:dyDescent="0.25">
      <c r="A56" s="7">
        <v>186</v>
      </c>
      <c r="B56" s="7" t="s">
        <v>100</v>
      </c>
      <c r="C56">
        <v>8</v>
      </c>
      <c r="D56">
        <v>5</v>
      </c>
      <c r="E56">
        <v>0</v>
      </c>
      <c r="F56" s="1">
        <f t="shared" ca="1" si="0"/>
        <v>46196</v>
      </c>
      <c r="G56" t="str">
        <f>+VLOOKUP(A56,'maestro tiendas'!A:C, 3, 0)</f>
        <v>MURCIA</v>
      </c>
    </row>
    <row r="57" spans="1:7" x14ac:dyDescent="0.25">
      <c r="A57" s="7">
        <v>187</v>
      </c>
      <c r="B57" s="7" t="s">
        <v>101</v>
      </c>
      <c r="C57">
        <v>7</v>
      </c>
      <c r="D57">
        <v>2</v>
      </c>
      <c r="E57">
        <v>3</v>
      </c>
      <c r="F57" s="1">
        <f t="shared" ca="1" si="0"/>
        <v>46196</v>
      </c>
      <c r="G57" t="str">
        <f>+VLOOKUP(A57,'maestro tiendas'!A:C, 3, 0)</f>
        <v>CASTELLON</v>
      </c>
    </row>
    <row r="58" spans="1:7" x14ac:dyDescent="0.25">
      <c r="A58" s="7">
        <v>188</v>
      </c>
      <c r="B58" s="7" t="s">
        <v>102</v>
      </c>
      <c r="C58">
        <v>7</v>
      </c>
      <c r="D58">
        <v>3</v>
      </c>
      <c r="E58">
        <v>1</v>
      </c>
      <c r="F58" s="1">
        <f t="shared" ca="1" si="0"/>
        <v>46196</v>
      </c>
      <c r="G58" t="str">
        <f>+VLOOKUP(A58,'maestro tiendas'!A:C, 3, 0)</f>
        <v>ALICANTE</v>
      </c>
    </row>
    <row r="59" spans="1:7" x14ac:dyDescent="0.25">
      <c r="A59" s="7">
        <v>189</v>
      </c>
      <c r="B59" s="7" t="s">
        <v>103</v>
      </c>
      <c r="C59">
        <v>8</v>
      </c>
      <c r="D59">
        <v>5</v>
      </c>
      <c r="E59">
        <v>3</v>
      </c>
      <c r="F59" s="1">
        <f t="shared" ca="1" si="0"/>
        <v>46196</v>
      </c>
      <c r="G59" t="str">
        <f>+VLOOKUP(A59,'maestro tiendas'!A:C, 3, 0)</f>
        <v>ALICANTE</v>
      </c>
    </row>
    <row r="60" spans="1:7" x14ac:dyDescent="0.25">
      <c r="A60" s="7">
        <v>190</v>
      </c>
      <c r="B60" s="7" t="s">
        <v>104</v>
      </c>
      <c r="C60">
        <v>7</v>
      </c>
      <c r="D60">
        <v>3</v>
      </c>
      <c r="E60">
        <v>0</v>
      </c>
      <c r="F60" s="1">
        <f t="shared" ca="1" si="0"/>
        <v>46196</v>
      </c>
      <c r="G60" t="str">
        <f>+VLOOKUP(A60,'maestro tiendas'!A:C, 3, 0)</f>
        <v>ALICANTE</v>
      </c>
    </row>
    <row r="61" spans="1:7" x14ac:dyDescent="0.25">
      <c r="A61" s="7">
        <v>191</v>
      </c>
      <c r="B61" s="7" t="s">
        <v>105</v>
      </c>
      <c r="C61">
        <v>5</v>
      </c>
      <c r="D61">
        <v>5</v>
      </c>
      <c r="E61">
        <v>0</v>
      </c>
      <c r="F61" s="1">
        <f t="shared" ca="1" si="0"/>
        <v>46196</v>
      </c>
      <c r="G61" t="str">
        <f>+VLOOKUP(A61,'maestro tiendas'!A:C, 3, 0)</f>
        <v>ALICANTE</v>
      </c>
    </row>
    <row r="62" spans="1:7" x14ac:dyDescent="0.25">
      <c r="A62" s="7">
        <v>20</v>
      </c>
      <c r="B62" s="7" t="s">
        <v>106</v>
      </c>
      <c r="C62">
        <v>5</v>
      </c>
      <c r="D62">
        <v>2</v>
      </c>
      <c r="E62">
        <v>1</v>
      </c>
      <c r="F62" s="1">
        <f t="shared" ca="1" si="0"/>
        <v>46196</v>
      </c>
      <c r="G62" t="str">
        <f>+VLOOKUP(A62,'maestro tiendas'!A:C, 3, 0)</f>
        <v>ALICANTE</v>
      </c>
    </row>
    <row r="63" spans="1:7" x14ac:dyDescent="0.25">
      <c r="A63" s="7">
        <v>22</v>
      </c>
      <c r="B63" s="7" t="s">
        <v>107</v>
      </c>
      <c r="C63">
        <v>8</v>
      </c>
      <c r="D63">
        <v>5</v>
      </c>
      <c r="E63">
        <v>2</v>
      </c>
      <c r="F63" s="1">
        <f t="shared" ca="1" si="0"/>
        <v>46196</v>
      </c>
      <c r="G63" t="str">
        <f>+VLOOKUP(A63,'maestro tiendas'!A:C, 3, 0)</f>
        <v>ALICANTE</v>
      </c>
    </row>
    <row r="64" spans="1:7" x14ac:dyDescent="0.25">
      <c r="A64" s="7">
        <v>24</v>
      </c>
      <c r="B64" s="7" t="s">
        <v>108</v>
      </c>
      <c r="C64">
        <v>7</v>
      </c>
      <c r="D64">
        <v>3</v>
      </c>
      <c r="E64">
        <v>0</v>
      </c>
      <c r="F64" s="1">
        <f t="shared" ca="1" si="0"/>
        <v>46196</v>
      </c>
      <c r="G64" t="str">
        <f>+VLOOKUP(A64,'maestro tiendas'!A:C, 3, 0)</f>
        <v>ALICANTE</v>
      </c>
    </row>
    <row r="65" spans="1:7" x14ac:dyDescent="0.25">
      <c r="A65" s="7">
        <v>3</v>
      </c>
      <c r="B65" s="7" t="s">
        <v>109</v>
      </c>
      <c r="C65">
        <v>5</v>
      </c>
      <c r="D65">
        <v>4</v>
      </c>
      <c r="E65">
        <v>2</v>
      </c>
      <c r="F65" s="1">
        <f t="shared" ca="1" si="0"/>
        <v>46196</v>
      </c>
      <c r="G65" t="str">
        <f>+VLOOKUP(A65,'maestro tiendas'!A:C, 3, 0)</f>
        <v>ALICANTE</v>
      </c>
    </row>
    <row r="66" spans="1:7" x14ac:dyDescent="0.25">
      <c r="A66" s="7">
        <v>30</v>
      </c>
      <c r="B66" s="7" t="s">
        <v>110</v>
      </c>
      <c r="C66">
        <v>7</v>
      </c>
      <c r="D66">
        <v>2</v>
      </c>
      <c r="E66">
        <v>2</v>
      </c>
      <c r="F66" s="1">
        <f t="shared" ca="1" si="0"/>
        <v>46196</v>
      </c>
      <c r="G66" t="str">
        <f>+VLOOKUP(A66,'maestro tiendas'!A:C, 3, 0)</f>
        <v>ALICANTE</v>
      </c>
    </row>
    <row r="67" spans="1:7" x14ac:dyDescent="0.25">
      <c r="A67" s="7">
        <v>31</v>
      </c>
      <c r="B67" s="7" t="s">
        <v>111</v>
      </c>
      <c r="C67">
        <v>6</v>
      </c>
      <c r="D67">
        <v>5</v>
      </c>
      <c r="E67">
        <v>0</v>
      </c>
      <c r="F67" s="1">
        <f t="shared" ref="F67:F107" ca="1" si="1">TODAY()</f>
        <v>46196</v>
      </c>
      <c r="G67" t="str">
        <f>+VLOOKUP(A67,'maestro tiendas'!A:C, 3, 0)</f>
        <v>VALENCIA</v>
      </c>
    </row>
    <row r="68" spans="1:7" x14ac:dyDescent="0.25">
      <c r="A68" s="7">
        <v>32</v>
      </c>
      <c r="B68" s="7" t="s">
        <v>112</v>
      </c>
      <c r="C68">
        <v>5</v>
      </c>
      <c r="D68">
        <v>2</v>
      </c>
      <c r="E68">
        <v>3</v>
      </c>
      <c r="F68" s="1">
        <f t="shared" ca="1" si="1"/>
        <v>46196</v>
      </c>
      <c r="G68" t="str">
        <f>+VLOOKUP(A68,'maestro tiendas'!A:C, 3, 0)</f>
        <v>VALENCIA</v>
      </c>
    </row>
    <row r="69" spans="1:7" x14ac:dyDescent="0.25">
      <c r="A69" s="7">
        <v>34</v>
      </c>
      <c r="B69" s="7" t="s">
        <v>113</v>
      </c>
      <c r="C69">
        <v>5</v>
      </c>
      <c r="D69">
        <v>3</v>
      </c>
      <c r="E69">
        <v>1</v>
      </c>
      <c r="F69" s="1">
        <f t="shared" ca="1" si="1"/>
        <v>46196</v>
      </c>
      <c r="G69" t="str">
        <f>+VLOOKUP(A69,'maestro tiendas'!A:C, 3, 0)</f>
        <v>VALENCIA</v>
      </c>
    </row>
    <row r="70" spans="1:7" x14ac:dyDescent="0.25">
      <c r="A70" s="7">
        <v>35</v>
      </c>
      <c r="B70" s="7" t="s">
        <v>114</v>
      </c>
      <c r="C70">
        <v>7</v>
      </c>
      <c r="D70">
        <v>2</v>
      </c>
      <c r="E70">
        <v>0</v>
      </c>
      <c r="F70" s="1">
        <f t="shared" ca="1" si="1"/>
        <v>46196</v>
      </c>
      <c r="G70" t="str">
        <f>+VLOOKUP(A70,'maestro tiendas'!A:C, 3, 0)</f>
        <v>VALENCIA</v>
      </c>
    </row>
    <row r="71" spans="1:7" x14ac:dyDescent="0.25">
      <c r="A71" s="7">
        <v>36</v>
      </c>
      <c r="B71" s="7" t="s">
        <v>115</v>
      </c>
      <c r="C71">
        <v>7</v>
      </c>
      <c r="D71">
        <v>2</v>
      </c>
      <c r="E71">
        <v>2</v>
      </c>
      <c r="F71" s="1">
        <f t="shared" ca="1" si="1"/>
        <v>46196</v>
      </c>
      <c r="G71" t="str">
        <f>+VLOOKUP(A71,'maestro tiendas'!A:C, 3, 0)</f>
        <v>ALICANTE</v>
      </c>
    </row>
    <row r="72" spans="1:7" x14ac:dyDescent="0.25">
      <c r="A72" s="7">
        <v>4</v>
      </c>
      <c r="B72" s="7" t="s">
        <v>116</v>
      </c>
      <c r="C72">
        <v>7</v>
      </c>
      <c r="D72">
        <v>2</v>
      </c>
      <c r="E72">
        <v>1</v>
      </c>
      <c r="F72" s="1">
        <f t="shared" ca="1" si="1"/>
        <v>46196</v>
      </c>
      <c r="G72" t="str">
        <f>+VLOOKUP(A72,'maestro tiendas'!A:C, 3, 0)</f>
        <v>ALICANTE</v>
      </c>
    </row>
    <row r="73" spans="1:7" x14ac:dyDescent="0.25">
      <c r="A73" s="7">
        <v>41</v>
      </c>
      <c r="B73" s="7" t="s">
        <v>117</v>
      </c>
      <c r="C73">
        <v>8</v>
      </c>
      <c r="D73">
        <v>3</v>
      </c>
      <c r="E73">
        <v>0</v>
      </c>
      <c r="F73" s="1">
        <f t="shared" ca="1" si="1"/>
        <v>46196</v>
      </c>
      <c r="G73" t="str">
        <f>+VLOOKUP(A73,'maestro tiendas'!A:C, 3, 0)</f>
        <v>ALICANTE</v>
      </c>
    </row>
    <row r="74" spans="1:7" x14ac:dyDescent="0.25">
      <c r="A74" s="7">
        <v>42</v>
      </c>
      <c r="B74" s="7" t="s">
        <v>118</v>
      </c>
      <c r="C74">
        <v>7</v>
      </c>
      <c r="D74">
        <v>2</v>
      </c>
      <c r="E74">
        <v>2</v>
      </c>
      <c r="F74" s="1">
        <f t="shared" ca="1" si="1"/>
        <v>46196</v>
      </c>
      <c r="G74" t="str">
        <f>+VLOOKUP(A74,'maestro tiendas'!A:C, 3, 0)</f>
        <v>ALICANTE</v>
      </c>
    </row>
    <row r="75" spans="1:7" x14ac:dyDescent="0.25">
      <c r="A75" s="7">
        <v>43</v>
      </c>
      <c r="B75" s="7" t="s">
        <v>119</v>
      </c>
      <c r="C75">
        <v>7</v>
      </c>
      <c r="D75">
        <v>2</v>
      </c>
      <c r="E75">
        <v>2</v>
      </c>
      <c r="F75" s="1">
        <f t="shared" ca="1" si="1"/>
        <v>46196</v>
      </c>
      <c r="G75" t="str">
        <f>+VLOOKUP(A75,'maestro tiendas'!A:C, 3, 0)</f>
        <v>ALICANTE</v>
      </c>
    </row>
    <row r="76" spans="1:7" x14ac:dyDescent="0.25">
      <c r="A76" s="7">
        <v>44</v>
      </c>
      <c r="B76" s="7" t="s">
        <v>120</v>
      </c>
      <c r="C76">
        <v>7</v>
      </c>
      <c r="D76">
        <v>2</v>
      </c>
      <c r="E76">
        <v>0</v>
      </c>
      <c r="F76" s="1">
        <f t="shared" ca="1" si="1"/>
        <v>46196</v>
      </c>
      <c r="G76" t="str">
        <f>+VLOOKUP(A76,'maestro tiendas'!A:C, 3, 0)</f>
        <v>VALENCIA</v>
      </c>
    </row>
    <row r="77" spans="1:7" x14ac:dyDescent="0.25">
      <c r="A77" s="7">
        <v>46</v>
      </c>
      <c r="B77" s="7" t="s">
        <v>121</v>
      </c>
      <c r="C77">
        <v>6</v>
      </c>
      <c r="D77">
        <v>2</v>
      </c>
      <c r="E77">
        <v>3</v>
      </c>
      <c r="F77" s="1">
        <f t="shared" ca="1" si="1"/>
        <v>46196</v>
      </c>
      <c r="G77" t="str">
        <f>+VLOOKUP(A77,'maestro tiendas'!A:C, 3, 0)</f>
        <v>ALICANTE</v>
      </c>
    </row>
    <row r="78" spans="1:7" x14ac:dyDescent="0.25">
      <c r="A78" s="7">
        <v>48</v>
      </c>
      <c r="B78" s="7" t="s">
        <v>122</v>
      </c>
      <c r="C78">
        <v>10</v>
      </c>
      <c r="D78">
        <v>4</v>
      </c>
      <c r="E78">
        <v>1</v>
      </c>
      <c r="F78" s="1">
        <f t="shared" ca="1" si="1"/>
        <v>46196</v>
      </c>
      <c r="G78" t="str">
        <f>+VLOOKUP(A78,'maestro tiendas'!A:C, 3, 0)</f>
        <v>ALICANTE</v>
      </c>
    </row>
    <row r="79" spans="1:7" x14ac:dyDescent="0.25">
      <c r="A79" s="7">
        <v>49</v>
      </c>
      <c r="B79" s="7" t="s">
        <v>123</v>
      </c>
      <c r="C79">
        <v>7</v>
      </c>
      <c r="D79">
        <v>3</v>
      </c>
      <c r="E79">
        <v>1</v>
      </c>
      <c r="F79" s="1">
        <f t="shared" ca="1" si="1"/>
        <v>46196</v>
      </c>
      <c r="G79" t="str">
        <f>+VLOOKUP(A79,'maestro tiendas'!A:C, 3, 0)</f>
        <v>NORTE</v>
      </c>
    </row>
    <row r="80" spans="1:7" x14ac:dyDescent="0.25">
      <c r="A80" s="7">
        <v>5</v>
      </c>
      <c r="B80" s="7" t="s">
        <v>124</v>
      </c>
      <c r="C80">
        <v>6</v>
      </c>
      <c r="D80">
        <v>5</v>
      </c>
      <c r="E80">
        <v>2</v>
      </c>
      <c r="F80" s="1">
        <f t="shared" ca="1" si="1"/>
        <v>46196</v>
      </c>
      <c r="G80" t="str">
        <f>+VLOOKUP(A80,'maestro tiendas'!A:C, 3, 0)</f>
        <v>ALICANTE</v>
      </c>
    </row>
    <row r="81" spans="1:7" x14ac:dyDescent="0.25">
      <c r="A81" s="7">
        <v>50</v>
      </c>
      <c r="B81" s="7" t="s">
        <v>125</v>
      </c>
      <c r="C81">
        <v>5</v>
      </c>
      <c r="D81">
        <v>5</v>
      </c>
      <c r="E81">
        <v>3</v>
      </c>
      <c r="F81" s="1">
        <f t="shared" ca="1" si="1"/>
        <v>46196</v>
      </c>
      <c r="G81" t="str">
        <f>+VLOOKUP(A81,'maestro tiendas'!A:C, 3, 0)</f>
        <v>CASTELLON</v>
      </c>
    </row>
    <row r="82" spans="1:7" x14ac:dyDescent="0.25">
      <c r="A82" s="7">
        <v>51</v>
      </c>
      <c r="B82" s="7" t="s">
        <v>126</v>
      </c>
      <c r="C82">
        <v>5</v>
      </c>
      <c r="D82">
        <v>3</v>
      </c>
      <c r="E82">
        <v>1</v>
      </c>
      <c r="F82" s="1">
        <f t="shared" ca="1" si="1"/>
        <v>46196</v>
      </c>
      <c r="G82" t="str">
        <f>+VLOOKUP(A82,'maestro tiendas'!A:C, 3, 0)</f>
        <v>NOCTURNA</v>
      </c>
    </row>
    <row r="83" spans="1:7" x14ac:dyDescent="0.25">
      <c r="A83" s="7">
        <v>52</v>
      </c>
      <c r="B83" s="7" t="s">
        <v>1</v>
      </c>
      <c r="C83">
        <v>7</v>
      </c>
      <c r="D83">
        <v>2</v>
      </c>
      <c r="E83">
        <v>3</v>
      </c>
      <c r="F83" s="1">
        <f t="shared" ca="1" si="1"/>
        <v>46196</v>
      </c>
      <c r="G83" t="str">
        <f>+VLOOKUP(A83,'maestro tiendas'!A:C, 3, 0)</f>
        <v>CASTELLON</v>
      </c>
    </row>
    <row r="84" spans="1:7" x14ac:dyDescent="0.25">
      <c r="A84" s="7">
        <v>54</v>
      </c>
      <c r="B84" s="7" t="s">
        <v>127</v>
      </c>
      <c r="C84">
        <v>6</v>
      </c>
      <c r="D84">
        <v>3</v>
      </c>
      <c r="E84">
        <v>3</v>
      </c>
      <c r="F84" s="1">
        <f t="shared" ca="1" si="1"/>
        <v>46196</v>
      </c>
      <c r="G84" t="str">
        <f>+VLOOKUP(A84,'maestro tiendas'!A:C, 3, 0)</f>
        <v>NOCTURNA</v>
      </c>
    </row>
    <row r="85" spans="1:7" x14ac:dyDescent="0.25">
      <c r="A85" s="7">
        <v>55</v>
      </c>
      <c r="B85" s="7" t="s">
        <v>128</v>
      </c>
      <c r="C85">
        <v>7</v>
      </c>
      <c r="D85">
        <v>3</v>
      </c>
      <c r="E85">
        <v>3</v>
      </c>
      <c r="F85" s="1">
        <f t="shared" ca="1" si="1"/>
        <v>46196</v>
      </c>
      <c r="G85" t="str">
        <f>+VLOOKUP(A85,'maestro tiendas'!A:C, 3, 0)</f>
        <v>NOCTURNA</v>
      </c>
    </row>
    <row r="86" spans="1:7" x14ac:dyDescent="0.25">
      <c r="A86" s="7">
        <v>56</v>
      </c>
      <c r="B86" s="7" t="s">
        <v>129</v>
      </c>
      <c r="C86">
        <v>6</v>
      </c>
      <c r="D86">
        <v>4</v>
      </c>
      <c r="E86">
        <v>3</v>
      </c>
      <c r="F86" s="1">
        <f t="shared" ca="1" si="1"/>
        <v>46196</v>
      </c>
      <c r="G86" t="str">
        <f>+VLOOKUP(A86,'maestro tiendas'!A:C, 3, 0)</f>
        <v>CASTELLON</v>
      </c>
    </row>
    <row r="87" spans="1:7" x14ac:dyDescent="0.25">
      <c r="A87" s="7">
        <v>57</v>
      </c>
      <c r="B87" s="7" t="s">
        <v>130</v>
      </c>
      <c r="C87">
        <v>7</v>
      </c>
      <c r="D87">
        <v>5</v>
      </c>
      <c r="E87">
        <v>1</v>
      </c>
      <c r="F87" s="1">
        <f t="shared" ca="1" si="1"/>
        <v>46196</v>
      </c>
      <c r="G87" t="str">
        <f>+VLOOKUP(A87,'maestro tiendas'!A:C, 3, 0)</f>
        <v>NOCTURNA</v>
      </c>
    </row>
    <row r="88" spans="1:7" x14ac:dyDescent="0.25">
      <c r="A88" s="7">
        <v>6</v>
      </c>
      <c r="B88" s="7" t="s">
        <v>131</v>
      </c>
      <c r="C88">
        <v>7</v>
      </c>
      <c r="D88">
        <v>4</v>
      </c>
      <c r="E88">
        <v>3</v>
      </c>
      <c r="F88" s="1">
        <f t="shared" ca="1" si="1"/>
        <v>46196</v>
      </c>
      <c r="G88" t="str">
        <f>+VLOOKUP(A88,'maestro tiendas'!A:C, 3, 0)</f>
        <v>ALICANTE</v>
      </c>
    </row>
    <row r="89" spans="1:7" x14ac:dyDescent="0.25">
      <c r="A89" s="7">
        <v>62</v>
      </c>
      <c r="B89" s="7" t="s">
        <v>132</v>
      </c>
      <c r="C89">
        <v>8</v>
      </c>
      <c r="D89">
        <v>3</v>
      </c>
      <c r="E89">
        <v>2</v>
      </c>
      <c r="F89" s="1">
        <f t="shared" ca="1" si="1"/>
        <v>46196</v>
      </c>
      <c r="G89" t="str">
        <f>+VLOOKUP(A89,'maestro tiendas'!A:C, 3, 0)</f>
        <v>NOCTURNA</v>
      </c>
    </row>
    <row r="90" spans="1:7" x14ac:dyDescent="0.25">
      <c r="A90" s="7">
        <v>64</v>
      </c>
      <c r="B90" s="7" t="s">
        <v>133</v>
      </c>
      <c r="C90">
        <v>5</v>
      </c>
      <c r="D90">
        <v>5</v>
      </c>
      <c r="E90">
        <v>3</v>
      </c>
      <c r="F90" s="1">
        <f t="shared" ca="1" si="1"/>
        <v>46196</v>
      </c>
      <c r="G90" t="str">
        <f>+VLOOKUP(A90,'maestro tiendas'!A:C, 3, 0)</f>
        <v>CASTELLON</v>
      </c>
    </row>
    <row r="91" spans="1:7" x14ac:dyDescent="0.25">
      <c r="A91" s="7">
        <v>65</v>
      </c>
      <c r="B91" s="7" t="s">
        <v>134</v>
      </c>
      <c r="C91">
        <v>5</v>
      </c>
      <c r="D91">
        <v>3</v>
      </c>
      <c r="E91">
        <v>3</v>
      </c>
      <c r="F91" s="1">
        <f t="shared" ca="1" si="1"/>
        <v>46196</v>
      </c>
      <c r="G91" t="str">
        <f>+VLOOKUP(A91,'maestro tiendas'!A:C, 3, 0)</f>
        <v>CASTELLON</v>
      </c>
    </row>
    <row r="92" spans="1:7" x14ac:dyDescent="0.25">
      <c r="A92" s="7">
        <v>66</v>
      </c>
      <c r="B92" s="7" t="s">
        <v>135</v>
      </c>
      <c r="C92">
        <v>7</v>
      </c>
      <c r="D92">
        <v>4</v>
      </c>
      <c r="E92">
        <v>3</v>
      </c>
      <c r="F92" s="1">
        <f t="shared" ca="1" si="1"/>
        <v>46196</v>
      </c>
      <c r="G92" t="str">
        <f>+VLOOKUP(A92,'maestro tiendas'!A:C, 3, 0)</f>
        <v>NORTE</v>
      </c>
    </row>
    <row r="93" spans="1:7" x14ac:dyDescent="0.25">
      <c r="A93" s="7">
        <v>67</v>
      </c>
      <c r="B93" s="7" t="s">
        <v>136</v>
      </c>
      <c r="C93">
        <v>5</v>
      </c>
      <c r="D93">
        <v>2</v>
      </c>
      <c r="E93">
        <v>0</v>
      </c>
      <c r="F93" s="1">
        <f t="shared" ca="1" si="1"/>
        <v>46196</v>
      </c>
      <c r="G93" t="str">
        <f>+VLOOKUP(A93,'maestro tiendas'!A:C, 3, 0)</f>
        <v>CASTELLON</v>
      </c>
    </row>
    <row r="94" spans="1:7" x14ac:dyDescent="0.25">
      <c r="A94" s="7">
        <v>68</v>
      </c>
      <c r="B94" s="7" t="s">
        <v>137</v>
      </c>
      <c r="C94">
        <v>8</v>
      </c>
      <c r="D94">
        <v>5</v>
      </c>
      <c r="E94">
        <v>3</v>
      </c>
      <c r="F94" s="1">
        <f t="shared" ca="1" si="1"/>
        <v>46196</v>
      </c>
      <c r="G94" t="str">
        <f>+VLOOKUP(A94,'maestro tiendas'!A:C, 3, 0)</f>
        <v>VALENCIA</v>
      </c>
    </row>
    <row r="95" spans="1:7" x14ac:dyDescent="0.25">
      <c r="A95" s="7">
        <v>7</v>
      </c>
      <c r="B95" s="7" t="s">
        <v>138</v>
      </c>
      <c r="C95">
        <v>5</v>
      </c>
      <c r="D95">
        <v>2</v>
      </c>
      <c r="E95">
        <v>3</v>
      </c>
      <c r="F95" s="1">
        <f t="shared" ca="1" si="1"/>
        <v>46196</v>
      </c>
      <c r="G95" t="str">
        <f>+VLOOKUP(A95,'maestro tiendas'!A:C, 3, 0)</f>
        <v>ALICANTE</v>
      </c>
    </row>
    <row r="96" spans="1:7" x14ac:dyDescent="0.25">
      <c r="A96" s="7">
        <v>70</v>
      </c>
      <c r="B96" s="7" t="s">
        <v>139</v>
      </c>
      <c r="C96">
        <v>6</v>
      </c>
      <c r="D96">
        <v>3</v>
      </c>
      <c r="E96">
        <v>0</v>
      </c>
      <c r="F96" s="1">
        <f t="shared" ca="1" si="1"/>
        <v>46196</v>
      </c>
      <c r="G96" t="str">
        <f>+VLOOKUP(A96,'maestro tiendas'!A:C, 3, 0)</f>
        <v>NOCTURNA</v>
      </c>
    </row>
    <row r="97" spans="1:7" x14ac:dyDescent="0.25">
      <c r="A97" s="7">
        <v>72</v>
      </c>
      <c r="B97" s="7" t="s">
        <v>140</v>
      </c>
      <c r="C97">
        <v>6</v>
      </c>
      <c r="D97">
        <v>5</v>
      </c>
      <c r="E97">
        <v>0</v>
      </c>
      <c r="F97" s="1">
        <f t="shared" ca="1" si="1"/>
        <v>46196</v>
      </c>
      <c r="G97" t="str">
        <f>+VLOOKUP(A97,'maestro tiendas'!A:C, 3, 0)</f>
        <v>ALICANTE</v>
      </c>
    </row>
    <row r="98" spans="1:7" x14ac:dyDescent="0.25">
      <c r="A98" s="7">
        <v>73</v>
      </c>
      <c r="B98" s="7" t="s">
        <v>141</v>
      </c>
      <c r="C98">
        <v>8</v>
      </c>
      <c r="D98">
        <v>4</v>
      </c>
      <c r="E98">
        <v>3</v>
      </c>
      <c r="F98" s="1">
        <f t="shared" ca="1" si="1"/>
        <v>46196</v>
      </c>
      <c r="G98" t="str">
        <f>+VLOOKUP(A98,'maestro tiendas'!A:C, 3, 0)</f>
        <v>ALICANTE</v>
      </c>
    </row>
    <row r="99" spans="1:7" x14ac:dyDescent="0.25">
      <c r="A99" s="7">
        <v>8</v>
      </c>
      <c r="B99" s="7" t="s">
        <v>142</v>
      </c>
      <c r="C99">
        <v>5</v>
      </c>
      <c r="D99">
        <v>2</v>
      </c>
      <c r="E99">
        <v>0</v>
      </c>
      <c r="F99" s="1">
        <f t="shared" ca="1" si="1"/>
        <v>46196</v>
      </c>
      <c r="G99" t="str">
        <f>+VLOOKUP(A99,'maestro tiendas'!A:C, 3, 0)</f>
        <v>ALICANTE</v>
      </c>
    </row>
    <row r="100" spans="1:7" x14ac:dyDescent="0.25">
      <c r="A100" s="7">
        <v>81</v>
      </c>
      <c r="B100" s="7" t="s">
        <v>143</v>
      </c>
      <c r="C100">
        <v>6</v>
      </c>
      <c r="D100">
        <v>5</v>
      </c>
      <c r="E100">
        <v>2</v>
      </c>
      <c r="F100" s="1">
        <f t="shared" ca="1" si="1"/>
        <v>46196</v>
      </c>
      <c r="G100" t="str">
        <f>+VLOOKUP(A100,'maestro tiendas'!A:C, 3, 0)</f>
        <v>VALENCIA</v>
      </c>
    </row>
    <row r="101" spans="1:7" x14ac:dyDescent="0.25">
      <c r="A101" s="7">
        <v>84</v>
      </c>
      <c r="B101" s="7" t="s">
        <v>144</v>
      </c>
      <c r="C101">
        <v>6</v>
      </c>
      <c r="D101">
        <v>3</v>
      </c>
      <c r="E101">
        <v>3</v>
      </c>
      <c r="F101" s="1">
        <f t="shared" ca="1" si="1"/>
        <v>46196</v>
      </c>
      <c r="G101" t="str">
        <f>+VLOOKUP(A101,'maestro tiendas'!A:C, 3, 0)</f>
        <v>VALENCIA</v>
      </c>
    </row>
    <row r="102" spans="1:7" x14ac:dyDescent="0.25">
      <c r="A102" s="7">
        <v>86</v>
      </c>
      <c r="B102" s="7" t="s">
        <v>145</v>
      </c>
      <c r="C102">
        <v>5</v>
      </c>
      <c r="D102">
        <v>2</v>
      </c>
      <c r="E102">
        <v>3</v>
      </c>
      <c r="F102" s="1">
        <f t="shared" ca="1" si="1"/>
        <v>46196</v>
      </c>
      <c r="G102" t="str">
        <f>+VLOOKUP(A102,'maestro tiendas'!A:C, 3, 0)</f>
        <v>ALCOY</v>
      </c>
    </row>
    <row r="103" spans="1:7" x14ac:dyDescent="0.25">
      <c r="A103" s="7">
        <v>89</v>
      </c>
      <c r="B103" s="7" t="s">
        <v>146</v>
      </c>
      <c r="C103">
        <v>8</v>
      </c>
      <c r="D103">
        <v>2</v>
      </c>
      <c r="E103">
        <v>1</v>
      </c>
      <c r="F103" s="1">
        <f t="shared" ca="1" si="1"/>
        <v>46196</v>
      </c>
      <c r="G103" t="str">
        <f>+VLOOKUP(A103,'maestro tiendas'!A:C, 3, 0)</f>
        <v>ALCOY</v>
      </c>
    </row>
    <row r="104" spans="1:7" x14ac:dyDescent="0.25">
      <c r="A104" s="7">
        <v>90</v>
      </c>
      <c r="B104" s="7" t="s">
        <v>147</v>
      </c>
      <c r="C104">
        <v>5</v>
      </c>
      <c r="D104">
        <v>2</v>
      </c>
      <c r="E104">
        <v>3</v>
      </c>
      <c r="F104" s="1">
        <f t="shared" ca="1" si="1"/>
        <v>46196</v>
      </c>
      <c r="G104" t="str">
        <f>+VLOOKUP(A104,'maestro tiendas'!A:C, 3, 0)</f>
        <v>ALCOY</v>
      </c>
    </row>
    <row r="105" spans="1:7" x14ac:dyDescent="0.25">
      <c r="A105" s="7">
        <v>96</v>
      </c>
      <c r="B105" s="7" t="s">
        <v>148</v>
      </c>
      <c r="C105">
        <v>8</v>
      </c>
      <c r="D105">
        <v>3</v>
      </c>
      <c r="E105">
        <v>2</v>
      </c>
      <c r="F105" s="1">
        <f t="shared" ca="1" si="1"/>
        <v>46196</v>
      </c>
      <c r="G105" t="str">
        <f>+VLOOKUP(A105,'maestro tiendas'!A:C, 3, 0)</f>
        <v>SAN VICENTE</v>
      </c>
    </row>
    <row r="106" spans="1:7" x14ac:dyDescent="0.25">
      <c r="A106" s="7">
        <v>97</v>
      </c>
      <c r="B106" s="7" t="s">
        <v>149</v>
      </c>
      <c r="C106">
        <v>5</v>
      </c>
      <c r="D106">
        <v>4</v>
      </c>
      <c r="E106">
        <v>1</v>
      </c>
      <c r="F106" s="1">
        <f t="shared" ca="1" si="1"/>
        <v>46196</v>
      </c>
      <c r="G106" t="str">
        <f>+VLOOKUP(A106,'maestro tiendas'!A:C, 3, 0)</f>
        <v>SAN VICENTE</v>
      </c>
    </row>
    <row r="107" spans="1:7" x14ac:dyDescent="0.25">
      <c r="A107" s="7">
        <v>98</v>
      </c>
      <c r="B107" s="7" t="s">
        <v>150</v>
      </c>
      <c r="C107">
        <v>7</v>
      </c>
      <c r="D107">
        <v>5</v>
      </c>
      <c r="E107">
        <v>1</v>
      </c>
      <c r="F107" s="1">
        <f t="shared" ca="1" si="1"/>
        <v>46196</v>
      </c>
      <c r="G107" t="str">
        <f>+VLOOKUP(A107,'maestro tiendas'!A:C, 3, 0)</f>
        <v>SAN VICENTE</v>
      </c>
    </row>
    <row r="108" spans="1:7" x14ac:dyDescent="0.25">
      <c r="F108" s="1"/>
      <c r="G108" t="e">
        <f>+VLOOKUP(A108,'maestro tiendas'!A:C, 3, 0)</f>
        <v>#N/A</v>
      </c>
    </row>
    <row r="109" spans="1:7" x14ac:dyDescent="0.25">
      <c r="F109" s="1"/>
      <c r="G109" t="e">
        <f>+VLOOKUP(A109,'maestro tiendas'!A:C, 3, 0)</f>
        <v>#N/A</v>
      </c>
    </row>
    <row r="110" spans="1:7" x14ac:dyDescent="0.25">
      <c r="G110" t="e">
        <f>+VLOOKUP(A110,'maestro tiendas'!A:C, 3, 0)</f>
        <v>#N/A</v>
      </c>
    </row>
    <row r="111" spans="1:7" x14ac:dyDescent="0.25">
      <c r="G111" t="e">
        <f>+VLOOKUP(A111,'maestro tiendas'!A:C, 3, 0)</f>
        <v>#N/A</v>
      </c>
    </row>
    <row r="112" spans="1:7" x14ac:dyDescent="0.25">
      <c r="G112" t="e">
        <f>+VLOOKUP(A112,'maestro tiendas'!A:C, 3, 0)</f>
        <v>#N/A</v>
      </c>
    </row>
    <row r="113" spans="7:7" x14ac:dyDescent="0.25">
      <c r="G113" t="e">
        <f>+VLOOKUP(A113,'maestro tiendas'!A:C, 3, 0)</f>
        <v>#N/A</v>
      </c>
    </row>
    <row r="114" spans="7:7" x14ac:dyDescent="0.25">
      <c r="G114" t="e">
        <f>+VLOOKUP(A114,'maestro tiendas'!A:C, 3, 0)</f>
        <v>#N/A</v>
      </c>
    </row>
    <row r="115" spans="7:7" x14ac:dyDescent="0.25">
      <c r="G115" t="e">
        <f>+VLOOKUP(A115,'maestro tiendas'!A:C, 3, 0)</f>
        <v>#N/A</v>
      </c>
    </row>
    <row r="116" spans="7:7" x14ac:dyDescent="0.25">
      <c r="G116" t="e">
        <f>+VLOOKUP(A116,'maestro tiendas'!A:C, 3, 0)</f>
        <v>#N/A</v>
      </c>
    </row>
    <row r="117" spans="7:7" x14ac:dyDescent="0.25">
      <c r="G117" t="e">
        <f>+VLOOKUP(A117,'maestro tiendas'!A:C, 3, 0)</f>
        <v>#N/A</v>
      </c>
    </row>
    <row r="118" spans="7:7" x14ac:dyDescent="0.25">
      <c r="G118" t="e">
        <f>+VLOOKUP(A118,'maestro tiendas'!A:C, 3, 0)</f>
        <v>#N/A</v>
      </c>
    </row>
    <row r="119" spans="7:7" x14ac:dyDescent="0.25">
      <c r="G119" t="e">
        <f>+VLOOKUP(A119,'maestro tiendas'!A:C, 3, 0)</f>
        <v>#N/A</v>
      </c>
    </row>
    <row r="120" spans="7:7" x14ac:dyDescent="0.25">
      <c r="G120" t="e">
        <f>+VLOOKUP(A120,'maestro tiendas'!A:C, 3, 0)</f>
        <v>#N/A</v>
      </c>
    </row>
    <row r="121" spans="7:7" x14ac:dyDescent="0.25">
      <c r="G121" t="e">
        <f>+VLOOKUP(A121,'maestro tiendas'!A:C, 3, 0)</f>
        <v>#N/A</v>
      </c>
    </row>
    <row r="122" spans="7:7" x14ac:dyDescent="0.25">
      <c r="G122" t="e">
        <f>+VLOOKUP(A122,'maestro tiendas'!A:C, 3, 0)</f>
        <v>#N/A</v>
      </c>
    </row>
    <row r="123" spans="7:7" x14ac:dyDescent="0.25">
      <c r="G123" t="e">
        <f>+VLOOKUP(A123,'maestro tiendas'!A:C, 3, 0)</f>
        <v>#N/A</v>
      </c>
    </row>
    <row r="124" spans="7:7" x14ac:dyDescent="0.25">
      <c r="G124" t="e">
        <f>+VLOOKUP(A124,'maestro tiendas'!A:C, 3, 0)</f>
        <v>#N/A</v>
      </c>
    </row>
    <row r="125" spans="7:7" x14ac:dyDescent="0.25">
      <c r="G125" t="e">
        <f>+VLOOKUP(A125,'maestro tiendas'!A:C, 3, 0)</f>
        <v>#N/A</v>
      </c>
    </row>
    <row r="126" spans="7:7" x14ac:dyDescent="0.25">
      <c r="G126" t="e">
        <f>+VLOOKUP(A126,'maestro tiendas'!A:C, 3, 0)</f>
        <v>#N/A</v>
      </c>
    </row>
    <row r="127" spans="7:7" x14ac:dyDescent="0.25">
      <c r="G127" t="e">
        <f>+VLOOKUP(A127,'maestro tiendas'!A:C, 3, 0)</f>
        <v>#N/A</v>
      </c>
    </row>
    <row r="128" spans="7:7" x14ac:dyDescent="0.25">
      <c r="G128" t="e">
        <f>+VLOOKUP(A128,'maestro tiendas'!A:C, 3, 0)</f>
        <v>#N/A</v>
      </c>
    </row>
    <row r="129" spans="7:7" x14ac:dyDescent="0.25">
      <c r="G129" t="e">
        <f>+VLOOKUP(A129,'maestro tiendas'!A:C, 3, 0)</f>
        <v>#N/A</v>
      </c>
    </row>
    <row r="130" spans="7:7" x14ac:dyDescent="0.25">
      <c r="G130" t="e">
        <f>+VLOOKUP(A130,'maestro tiendas'!A:C, 3, 0)</f>
        <v>#N/A</v>
      </c>
    </row>
    <row r="131" spans="7:7" x14ac:dyDescent="0.25">
      <c r="G131" t="e">
        <f>+VLOOKUP(A131,'maestro tiendas'!A:C, 3, 0)</f>
        <v>#N/A</v>
      </c>
    </row>
    <row r="132" spans="7:7" x14ac:dyDescent="0.25">
      <c r="G132" t="e">
        <f>+VLOOKUP(A132,'maestro tiendas'!A:C, 3, 0)</f>
        <v>#N/A</v>
      </c>
    </row>
    <row r="133" spans="7:7" x14ac:dyDescent="0.25">
      <c r="G133" t="e">
        <f>+VLOOKUP(A133,'maestro tiendas'!A:C, 3, 0)</f>
        <v>#N/A</v>
      </c>
    </row>
    <row r="134" spans="7:7" x14ac:dyDescent="0.25">
      <c r="G134" t="e">
        <f>+VLOOKUP(A134,'maestro tiendas'!A:C, 3, 0)</f>
        <v>#N/A</v>
      </c>
    </row>
    <row r="135" spans="7:7" x14ac:dyDescent="0.25">
      <c r="G135" t="e">
        <f>+VLOOKUP(A135,'maestro tiendas'!A:C, 3, 0)</f>
        <v>#N/A</v>
      </c>
    </row>
    <row r="136" spans="7:7" x14ac:dyDescent="0.25">
      <c r="G136" t="e">
        <f>+VLOOKUP(A136,'maestro tiendas'!A:C, 3, 0)</f>
        <v>#N/A</v>
      </c>
    </row>
    <row r="137" spans="7:7" x14ac:dyDescent="0.25">
      <c r="G137" t="e">
        <f>+VLOOKUP(A137,'maestro tiendas'!A:C, 3, 0)</f>
        <v>#N/A</v>
      </c>
    </row>
    <row r="138" spans="7:7" x14ac:dyDescent="0.25">
      <c r="G138" t="e">
        <f>+VLOOKUP(A138,'maestro tiendas'!A:C, 3, 0)</f>
        <v>#N/A</v>
      </c>
    </row>
    <row r="139" spans="7:7" x14ac:dyDescent="0.25">
      <c r="G139" t="e">
        <f>+VLOOKUP(A139,'maestro tiendas'!A:C, 3, 0)</f>
        <v>#N/A</v>
      </c>
    </row>
    <row r="140" spans="7:7" x14ac:dyDescent="0.25">
      <c r="G140" t="e">
        <f>+VLOOKUP(A140,'maestro tiendas'!A:C, 3, 0)</f>
        <v>#N/A</v>
      </c>
    </row>
    <row r="141" spans="7:7" x14ac:dyDescent="0.25">
      <c r="G141" t="e">
        <f>+VLOOKUP(A141,'maestro tiendas'!A:C, 3, 0)</f>
        <v>#N/A</v>
      </c>
    </row>
    <row r="142" spans="7:7" x14ac:dyDescent="0.25">
      <c r="G142" t="e">
        <f>+VLOOKUP(A142,'maestro tiendas'!A:C, 3, 0)</f>
        <v>#N/A</v>
      </c>
    </row>
    <row r="143" spans="7:7" x14ac:dyDescent="0.25">
      <c r="G143" t="e">
        <f>+VLOOKUP(A143,'maestro tiendas'!A:C, 3, 0)</f>
        <v>#N/A</v>
      </c>
    </row>
    <row r="144" spans="7:7" x14ac:dyDescent="0.25">
      <c r="G144" t="e">
        <f>+VLOOKUP(A144,'maestro tiendas'!A:C, 3, 0)</f>
        <v>#N/A</v>
      </c>
    </row>
    <row r="145" spans="7:7" x14ac:dyDescent="0.25">
      <c r="G145" t="e">
        <f>+VLOOKUP(A145,'maestro tiendas'!A:C, 3, 0)</f>
        <v>#N/A</v>
      </c>
    </row>
    <row r="146" spans="7:7" x14ac:dyDescent="0.25">
      <c r="G146" t="e">
        <f>+VLOOKUP(A146,'maestro tiendas'!A:C, 3, 0)</f>
        <v>#N/A</v>
      </c>
    </row>
    <row r="147" spans="7:7" x14ac:dyDescent="0.25">
      <c r="G147" t="e">
        <f>+VLOOKUP(A147,'maestro tiendas'!A:C, 3, 0)</f>
        <v>#N/A</v>
      </c>
    </row>
    <row r="148" spans="7:7" x14ac:dyDescent="0.25">
      <c r="G148" t="e">
        <f>+VLOOKUP(A148,'maestro tiendas'!A:C, 3, 0)</f>
        <v>#N/A</v>
      </c>
    </row>
    <row r="149" spans="7:7" x14ac:dyDescent="0.25">
      <c r="G149" t="e">
        <f>+VLOOKUP(A149,'maestro tiendas'!A:C, 3, 0)</f>
        <v>#N/A</v>
      </c>
    </row>
    <row r="150" spans="7:7" x14ac:dyDescent="0.25">
      <c r="G150" t="e">
        <f>+VLOOKUP(A150,'maestro tiendas'!A:C, 3, 0)</f>
        <v>#N/A</v>
      </c>
    </row>
    <row r="151" spans="7:7" x14ac:dyDescent="0.25">
      <c r="G151" t="e">
        <f>+VLOOKUP(A151,'maestro tiendas'!A:C, 3, 0)</f>
        <v>#N/A</v>
      </c>
    </row>
    <row r="152" spans="7:7" x14ac:dyDescent="0.25">
      <c r="G152" t="e">
        <f>+VLOOKUP(A152,'maestro tiendas'!A:C, 3, 0)</f>
        <v>#N/A</v>
      </c>
    </row>
    <row r="153" spans="7:7" x14ac:dyDescent="0.25">
      <c r="G153" t="e">
        <f>+VLOOKUP(A153,'maestro tiendas'!A:C, 3, 0)</f>
        <v>#N/A</v>
      </c>
    </row>
    <row r="154" spans="7:7" x14ac:dyDescent="0.25">
      <c r="G154" t="e">
        <f>+VLOOKUP(A154,'maestro tiendas'!A:C, 3, 0)</f>
        <v>#N/A</v>
      </c>
    </row>
    <row r="155" spans="7:7" x14ac:dyDescent="0.25">
      <c r="G155" t="e">
        <f>+VLOOKUP(A155,'maestro tiendas'!A:C, 3, 0)</f>
        <v>#N/A</v>
      </c>
    </row>
    <row r="156" spans="7:7" x14ac:dyDescent="0.25">
      <c r="G156" t="e">
        <f>+VLOOKUP(A156,'maestro tiendas'!A:C, 3, 0)</f>
        <v>#N/A</v>
      </c>
    </row>
    <row r="157" spans="7:7" x14ac:dyDescent="0.25">
      <c r="G157" t="e">
        <f>+VLOOKUP(A157,'maestro tiendas'!A:C, 3, 0)</f>
        <v>#N/A</v>
      </c>
    </row>
    <row r="158" spans="7:7" x14ac:dyDescent="0.25">
      <c r="G158" t="e">
        <f>+VLOOKUP(A158,'maestro tiendas'!A:C, 3, 0)</f>
        <v>#N/A</v>
      </c>
    </row>
    <row r="159" spans="7:7" x14ac:dyDescent="0.25">
      <c r="G159" t="e">
        <f>+VLOOKUP(A159,'maestro tiendas'!A:C, 3, 0)</f>
        <v>#N/A</v>
      </c>
    </row>
    <row r="160" spans="7:7" x14ac:dyDescent="0.25">
      <c r="G160" t="e">
        <f>+VLOOKUP(A160,'maestro tiendas'!A:C, 3, 0)</f>
        <v>#N/A</v>
      </c>
    </row>
    <row r="161" spans="7:7" x14ac:dyDescent="0.25">
      <c r="G161" t="e">
        <f>+VLOOKUP(A161,'maestro tiendas'!A:C, 3, 0)</f>
        <v>#N/A</v>
      </c>
    </row>
    <row r="162" spans="7:7" x14ac:dyDescent="0.25">
      <c r="G162" t="e">
        <f>+VLOOKUP(A162,'maestro tiendas'!A:C, 3, 0)</f>
        <v>#N/A</v>
      </c>
    </row>
    <row r="163" spans="7:7" x14ac:dyDescent="0.25">
      <c r="G163" t="e">
        <f>+VLOOKUP(A163,'maestro tiendas'!A:C, 3, 0)</f>
        <v>#N/A</v>
      </c>
    </row>
    <row r="164" spans="7:7" x14ac:dyDescent="0.25">
      <c r="G164" t="e">
        <f>+VLOOKUP(A164,'maestro tiendas'!A:C, 3, 0)</f>
        <v>#N/A</v>
      </c>
    </row>
    <row r="165" spans="7:7" x14ac:dyDescent="0.25">
      <c r="G165" t="e">
        <f>+VLOOKUP(A165,'maestro tiendas'!A:C, 3, 0)</f>
        <v>#N/A</v>
      </c>
    </row>
    <row r="166" spans="7:7" x14ac:dyDescent="0.25">
      <c r="G166" t="e">
        <f>+VLOOKUP(A166,'maestro tiendas'!A:C, 3, 0)</f>
        <v>#N/A</v>
      </c>
    </row>
    <row r="167" spans="7:7" x14ac:dyDescent="0.25">
      <c r="G167" t="e">
        <f>+VLOOKUP(A167,'maestro tiendas'!A:C, 3, 0)</f>
        <v>#N/A</v>
      </c>
    </row>
    <row r="168" spans="7:7" x14ac:dyDescent="0.25">
      <c r="G168" t="e">
        <f>+VLOOKUP(A168,'maestro tiendas'!A:C, 3, 0)</f>
        <v>#N/A</v>
      </c>
    </row>
    <row r="169" spans="7:7" x14ac:dyDescent="0.25">
      <c r="G169" t="e">
        <f>+VLOOKUP(A169,'maestro tiendas'!A:C, 3, 0)</f>
        <v>#N/A</v>
      </c>
    </row>
    <row r="170" spans="7:7" x14ac:dyDescent="0.25">
      <c r="G170" t="e">
        <f>+VLOOKUP(A170,'maestro tiendas'!A:C, 3, 0)</f>
        <v>#N/A</v>
      </c>
    </row>
    <row r="171" spans="7:7" x14ac:dyDescent="0.25">
      <c r="G171" t="e">
        <f>+VLOOKUP(A171,'maestro tiendas'!A:C, 3, 0)</f>
        <v>#N/A</v>
      </c>
    </row>
    <row r="172" spans="7:7" x14ac:dyDescent="0.25">
      <c r="G172" t="e">
        <f>+VLOOKUP(A172,'maestro tiendas'!A:C, 3, 0)</f>
        <v>#N/A</v>
      </c>
    </row>
    <row r="173" spans="7:7" x14ac:dyDescent="0.25">
      <c r="G173" t="e">
        <f>+VLOOKUP(A173,'maestro tiendas'!A:C, 3, 0)</f>
        <v>#N/A</v>
      </c>
    </row>
    <row r="174" spans="7:7" x14ac:dyDescent="0.25">
      <c r="G174" t="e">
        <f>+VLOOKUP(A174,'maestro tiendas'!A:C, 3, 0)</f>
        <v>#N/A</v>
      </c>
    </row>
    <row r="175" spans="7:7" x14ac:dyDescent="0.25">
      <c r="G175" t="e">
        <f>+VLOOKUP(A175,'maestro tiendas'!A:C, 3, 0)</f>
        <v>#N/A</v>
      </c>
    </row>
    <row r="176" spans="7:7" x14ac:dyDescent="0.25">
      <c r="G176" t="e">
        <f>+VLOOKUP(A176,'maestro tiendas'!A:C, 3, 0)</f>
        <v>#N/A</v>
      </c>
    </row>
    <row r="177" spans="7:7" x14ac:dyDescent="0.25">
      <c r="G177" t="e">
        <f>+VLOOKUP(A177,'maestro tiendas'!A:C, 3, 0)</f>
        <v>#N/A</v>
      </c>
    </row>
    <row r="178" spans="7:7" x14ac:dyDescent="0.25">
      <c r="G178" t="e">
        <f>+VLOOKUP(A178,'maestro tiendas'!A:C, 3, 0)</f>
        <v>#N/A</v>
      </c>
    </row>
    <row r="179" spans="7:7" x14ac:dyDescent="0.25">
      <c r="G179" t="e">
        <f>+VLOOKUP(A179,'maestro tiendas'!A:C, 3, 0)</f>
        <v>#N/A</v>
      </c>
    </row>
    <row r="180" spans="7:7" x14ac:dyDescent="0.25">
      <c r="G180" t="e">
        <f>+VLOOKUP(A180,'maestro tiendas'!A:C, 3, 0)</f>
        <v>#N/A</v>
      </c>
    </row>
    <row r="181" spans="7:7" x14ac:dyDescent="0.25">
      <c r="G181" t="e">
        <f>+VLOOKUP(A181,'maestro tiendas'!A:C, 3, 0)</f>
        <v>#N/A</v>
      </c>
    </row>
    <row r="182" spans="7:7" x14ac:dyDescent="0.25">
      <c r="G182" t="e">
        <f>+VLOOKUP(A182,'maestro tiendas'!A:C, 3, 0)</f>
        <v>#N/A</v>
      </c>
    </row>
    <row r="183" spans="7:7" x14ac:dyDescent="0.25">
      <c r="G183" t="e">
        <f>+VLOOKUP(A183,'maestro tiendas'!A:C, 3, 0)</f>
        <v>#N/A</v>
      </c>
    </row>
    <row r="184" spans="7:7" x14ac:dyDescent="0.25">
      <c r="G184" t="e">
        <f>+VLOOKUP(A184,'maestro tiendas'!A:C, 3, 0)</f>
        <v>#N/A</v>
      </c>
    </row>
    <row r="185" spans="7:7" x14ac:dyDescent="0.25">
      <c r="G185" t="e">
        <f>+VLOOKUP(A185,'maestro tiendas'!A:C, 3, 0)</f>
        <v>#N/A</v>
      </c>
    </row>
    <row r="186" spans="7:7" x14ac:dyDescent="0.25">
      <c r="G186" t="e">
        <f>+VLOOKUP(A186,'maestro tiendas'!A:C, 3, 0)</f>
        <v>#N/A</v>
      </c>
    </row>
    <row r="187" spans="7:7" x14ac:dyDescent="0.25">
      <c r="G187" t="e">
        <f>+VLOOKUP(A187,'maestro tiendas'!A:C, 3, 0)</f>
        <v>#N/A</v>
      </c>
    </row>
    <row r="188" spans="7:7" x14ac:dyDescent="0.25">
      <c r="G188" t="e">
        <f>+VLOOKUP(A188,'maestro tiendas'!A:C, 3, 0)</f>
        <v>#N/A</v>
      </c>
    </row>
    <row r="189" spans="7:7" x14ac:dyDescent="0.25">
      <c r="G189" t="e">
        <f>+VLOOKUP(A189,'maestro tiendas'!A:C, 3, 0)</f>
        <v>#N/A</v>
      </c>
    </row>
    <row r="190" spans="7:7" x14ac:dyDescent="0.25">
      <c r="G190" t="e">
        <f>+VLOOKUP(A190,'maestro tiendas'!A:C, 3, 0)</f>
        <v>#N/A</v>
      </c>
    </row>
    <row r="191" spans="7:7" x14ac:dyDescent="0.25">
      <c r="G191" t="e">
        <f>+VLOOKUP(A191,'maestro tiendas'!A:C, 3, 0)</f>
        <v>#N/A</v>
      </c>
    </row>
    <row r="192" spans="7:7" x14ac:dyDescent="0.25">
      <c r="G192" t="e">
        <f>+VLOOKUP(A192,'maestro tiendas'!A:C, 3, 0)</f>
        <v>#N/A</v>
      </c>
    </row>
    <row r="193" spans="7:7" x14ac:dyDescent="0.25">
      <c r="G193" t="e">
        <f>+VLOOKUP(A193,'maestro tiendas'!A:C, 3, 0)</f>
        <v>#N/A</v>
      </c>
    </row>
    <row r="194" spans="7:7" x14ac:dyDescent="0.25">
      <c r="G194" t="e">
        <f>+VLOOKUP(A194,'maestro tiendas'!A:C, 3, 0)</f>
        <v>#N/A</v>
      </c>
    </row>
    <row r="195" spans="7:7" x14ac:dyDescent="0.25">
      <c r="G195" t="e">
        <f>+VLOOKUP(A195,'maestro tiendas'!A:C, 3, 0)</f>
        <v>#N/A</v>
      </c>
    </row>
    <row r="196" spans="7:7" x14ac:dyDescent="0.25">
      <c r="G196" t="e">
        <f>+VLOOKUP(A196,'maestro tiendas'!A:C, 3, 0)</f>
        <v>#N/A</v>
      </c>
    </row>
    <row r="197" spans="7:7" x14ac:dyDescent="0.25">
      <c r="G197" t="e">
        <f>+VLOOKUP(A197,'maestro tiendas'!A:C, 3, 0)</f>
        <v>#N/A</v>
      </c>
    </row>
    <row r="198" spans="7:7" x14ac:dyDescent="0.25">
      <c r="G198" t="e">
        <f>+VLOOKUP(A198,'maestro tiendas'!A:C, 3, 0)</f>
        <v>#N/A</v>
      </c>
    </row>
    <row r="199" spans="7:7" x14ac:dyDescent="0.25">
      <c r="G199" t="e">
        <f>+VLOOKUP(A199,'maestro tiendas'!A:C, 3, 0)</f>
        <v>#N/A</v>
      </c>
    </row>
    <row r="200" spans="7:7" x14ac:dyDescent="0.25">
      <c r="G200" t="e">
        <f>+VLOOKUP(A200,'maestro tiendas'!A:C, 3, 0)</f>
        <v>#N/A</v>
      </c>
    </row>
    <row r="201" spans="7:7" x14ac:dyDescent="0.25">
      <c r="G201" t="e">
        <f>+VLOOKUP(A201,'maestro tiendas'!A:C, 3, 0)</f>
        <v>#N/A</v>
      </c>
    </row>
    <row r="202" spans="7:7" x14ac:dyDescent="0.25">
      <c r="G202" t="e">
        <f>+VLOOKUP(A202,'maestro tiendas'!A:C, 3, 0)</f>
        <v>#N/A</v>
      </c>
    </row>
    <row r="203" spans="7:7" x14ac:dyDescent="0.25">
      <c r="G203" t="e">
        <f>+VLOOKUP(A203,'maestro tiendas'!A:C, 3, 0)</f>
        <v>#N/A</v>
      </c>
    </row>
    <row r="204" spans="7:7" x14ac:dyDescent="0.25">
      <c r="G204" t="e">
        <f>+VLOOKUP(A204,'maestro tiendas'!A:C, 3, 0)</f>
        <v>#N/A</v>
      </c>
    </row>
    <row r="205" spans="7:7" x14ac:dyDescent="0.25">
      <c r="G205" t="e">
        <f>+VLOOKUP(A205,'maestro tiendas'!A:C, 3, 0)</f>
        <v>#N/A</v>
      </c>
    </row>
    <row r="206" spans="7:7" x14ac:dyDescent="0.25">
      <c r="G206" t="e">
        <f>+VLOOKUP(A206,'maestro tiendas'!A:C, 3, 0)</f>
        <v>#N/A</v>
      </c>
    </row>
    <row r="207" spans="7:7" x14ac:dyDescent="0.25">
      <c r="G207" t="e">
        <f>+VLOOKUP(A207,'maestro tiendas'!A:C, 3, 0)</f>
        <v>#N/A</v>
      </c>
    </row>
    <row r="208" spans="7:7" x14ac:dyDescent="0.25">
      <c r="G208" t="e">
        <f>+VLOOKUP(A208,'maestro tiendas'!A:C, 3, 0)</f>
        <v>#N/A</v>
      </c>
    </row>
    <row r="209" spans="7:7" x14ac:dyDescent="0.25">
      <c r="G209" t="e">
        <f>+VLOOKUP(A209,'maestro tiendas'!A:C, 3, 0)</f>
        <v>#N/A</v>
      </c>
    </row>
    <row r="210" spans="7:7" x14ac:dyDescent="0.25">
      <c r="G210" t="e">
        <f>+VLOOKUP(A210,'maestro tiendas'!A:C, 3, 0)</f>
        <v>#N/A</v>
      </c>
    </row>
    <row r="211" spans="7:7" x14ac:dyDescent="0.25">
      <c r="G211" t="e">
        <f>+VLOOKUP(A211,'maestro tiendas'!A:C, 3, 0)</f>
        <v>#N/A</v>
      </c>
    </row>
    <row r="212" spans="7:7" x14ac:dyDescent="0.25">
      <c r="G212" t="e">
        <f>+VLOOKUP(A212,'maestro tiendas'!A:C, 3, 0)</f>
        <v>#N/A</v>
      </c>
    </row>
    <row r="213" spans="7:7" x14ac:dyDescent="0.25">
      <c r="G213" t="e">
        <f>+VLOOKUP(A213,'maestro tiendas'!A:C, 3, 0)</f>
        <v>#N/A</v>
      </c>
    </row>
    <row r="214" spans="7:7" x14ac:dyDescent="0.25">
      <c r="G214" t="e">
        <f>+VLOOKUP(A214,'maestro tiendas'!A:C, 3, 0)</f>
        <v>#N/A</v>
      </c>
    </row>
    <row r="215" spans="7:7" x14ac:dyDescent="0.25">
      <c r="G215" t="e">
        <f>+VLOOKUP(A215,'maestro tiendas'!A:C, 3, 0)</f>
        <v>#N/A</v>
      </c>
    </row>
    <row r="216" spans="7:7" x14ac:dyDescent="0.25">
      <c r="G216" t="e">
        <f>+VLOOKUP(A216,'maestro tiendas'!A:C, 3, 0)</f>
        <v>#N/A</v>
      </c>
    </row>
    <row r="217" spans="7:7" x14ac:dyDescent="0.25">
      <c r="G217" t="e">
        <f>+VLOOKUP(A217,'maestro tiendas'!A:C, 3, 0)</f>
        <v>#N/A</v>
      </c>
    </row>
    <row r="218" spans="7:7" x14ac:dyDescent="0.25">
      <c r="G218" t="e">
        <f>+VLOOKUP(A218,'maestro tiendas'!A:C, 3, 0)</f>
        <v>#N/A</v>
      </c>
    </row>
    <row r="219" spans="7:7" x14ac:dyDescent="0.25">
      <c r="G219" t="e">
        <f>+VLOOKUP(A219,'maestro tiendas'!A:C, 3, 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5774-0484-4767-A839-60402FB3AE50}">
  <dimension ref="A1:G197"/>
  <sheetViews>
    <sheetView tabSelected="1" topLeftCell="A105" zoomScale="115" zoomScaleNormal="115" workbookViewId="0">
      <selection activeCell="B119" sqref="B119"/>
    </sheetView>
  </sheetViews>
  <sheetFormatPr baseColWidth="10" defaultColWidth="10.85546875" defaultRowHeight="15" x14ac:dyDescent="0.25"/>
  <cols>
    <col min="1" max="1" width="10.140625" style="2" customWidth="1"/>
    <col min="2" max="2" width="36.42578125" style="2" customWidth="1"/>
    <col min="3" max="3" width="14.42578125" style="2" customWidth="1"/>
    <col min="4" max="4" width="11.85546875" style="4" customWidth="1"/>
    <col min="5" max="5" width="10.85546875" style="2"/>
    <col min="6" max="6" width="23.42578125" style="2" bestFit="1" customWidth="1"/>
    <col min="7" max="16384" width="10.85546875" style="2"/>
  </cols>
  <sheetData>
    <row r="1" spans="1:7" x14ac:dyDescent="0.25">
      <c r="A1" s="2" t="s">
        <v>0</v>
      </c>
      <c r="B1" s="2" t="s">
        <v>38</v>
      </c>
      <c r="C1" s="2" t="s">
        <v>39</v>
      </c>
      <c r="D1" s="3" t="s">
        <v>40</v>
      </c>
    </row>
    <row r="2" spans="1:7" ht="26.25" x14ac:dyDescent="0.4">
      <c r="A2" s="2">
        <v>3</v>
      </c>
      <c r="B2" s="2" t="s">
        <v>109</v>
      </c>
      <c r="C2" s="2" t="s">
        <v>2</v>
      </c>
      <c r="D2" s="4">
        <f>+IF(Tabla1[[#This Row],[Tienda]]&lt;&gt;"", IFERROR( VLOOKUP(Tabla1[[#This Row],[Tienda]],  Hoja1!A:A,   1,   0), "FALTA TIENDA"), "")</f>
        <v>3</v>
      </c>
      <c r="F2" s="5" t="s">
        <v>41</v>
      </c>
      <c r="G2" s="5">
        <f>+COUNTIF( D:D,F2)</f>
        <v>8</v>
      </c>
    </row>
    <row r="3" spans="1:7" x14ac:dyDescent="0.25">
      <c r="A3" s="2">
        <v>4</v>
      </c>
      <c r="B3" s="2" t="s">
        <v>116</v>
      </c>
      <c r="C3" s="2" t="s">
        <v>2</v>
      </c>
      <c r="D3" s="4">
        <f>+IF(Tabla1[[#This Row],[Tienda]]&lt;&gt;"", IFERROR( VLOOKUP(Tabla1[[#This Row],[Tienda]],  Hoja1!A:A,   1,   0), "FALTA TIENDA"), "")</f>
        <v>4</v>
      </c>
    </row>
    <row r="4" spans="1:7" x14ac:dyDescent="0.25">
      <c r="A4" s="2">
        <v>5</v>
      </c>
      <c r="B4" s="2" t="s">
        <v>124</v>
      </c>
      <c r="C4" s="2" t="s">
        <v>2</v>
      </c>
      <c r="D4" s="4">
        <f>+IF(Tabla1[[#This Row],[Tienda]]&lt;&gt;"", IFERROR( VLOOKUP(Tabla1[[#This Row],[Tienda]],  Hoja1!A:A,   1,   0), "FALTA TIENDA"), "")</f>
        <v>5</v>
      </c>
    </row>
    <row r="5" spans="1:7" x14ac:dyDescent="0.25">
      <c r="A5" s="2">
        <v>6</v>
      </c>
      <c r="B5" s="2" t="s">
        <v>131</v>
      </c>
      <c r="C5" s="2" t="s">
        <v>2</v>
      </c>
      <c r="D5" s="4">
        <f>+IF(Tabla1[[#This Row],[Tienda]]&lt;&gt;"", IFERROR( VLOOKUP(Tabla1[[#This Row],[Tienda]],  Hoja1!A:A,   1,   0), "FALTA TIENDA"), "")</f>
        <v>6</v>
      </c>
    </row>
    <row r="6" spans="1:7" x14ac:dyDescent="0.25">
      <c r="A6" s="2">
        <v>7</v>
      </c>
      <c r="B6" s="2" t="s">
        <v>138</v>
      </c>
      <c r="C6" s="2" t="s">
        <v>2</v>
      </c>
      <c r="D6" s="4">
        <f>+IF(Tabla1[[#This Row],[Tienda]]&lt;&gt;"", IFERROR( VLOOKUP(Tabla1[[#This Row],[Tienda]],  Hoja1!A:A,   1,   0), "FALTA TIENDA"), "")</f>
        <v>7</v>
      </c>
    </row>
    <row r="7" spans="1:7" x14ac:dyDescent="0.25">
      <c r="A7" s="2">
        <v>8</v>
      </c>
      <c r="B7" s="2" t="s">
        <v>142</v>
      </c>
      <c r="C7" s="2" t="s">
        <v>2</v>
      </c>
      <c r="D7" s="4">
        <f>+IF(Tabla1[[#This Row],[Tienda]]&lt;&gt;"", IFERROR( VLOOKUP(Tabla1[[#This Row],[Tienda]],  Hoja1!A:A,   1,   0), "FALTA TIENDA"), "")</f>
        <v>8</v>
      </c>
    </row>
    <row r="8" spans="1:7" x14ac:dyDescent="0.25">
      <c r="A8" s="2">
        <v>11</v>
      </c>
      <c r="B8" s="2" t="s">
        <v>53</v>
      </c>
      <c r="C8" s="2" t="s">
        <v>3</v>
      </c>
      <c r="D8" s="4">
        <f>+IF(Tabla1[[#This Row],[Tienda]]&lt;&gt;"", IFERROR( VLOOKUP(Tabla1[[#This Row],[Tienda]],  Hoja1!A:A,   1,   0), "FALTA TIENDA"), "")</f>
        <v>11</v>
      </c>
    </row>
    <row r="9" spans="1:7" x14ac:dyDescent="0.25">
      <c r="A9" s="2">
        <v>14</v>
      </c>
      <c r="B9" s="2" t="s">
        <v>73</v>
      </c>
      <c r="C9" s="2" t="s">
        <v>2</v>
      </c>
      <c r="D9" s="4">
        <f>+IF(Tabla1[[#This Row],[Tienda]]&lt;&gt;"", IFERROR( VLOOKUP(Tabla1[[#This Row],[Tienda]],  Hoja1!A:A,   1,   0), "FALTA TIENDA"), "")</f>
        <v>14</v>
      </c>
    </row>
    <row r="10" spans="1:7" x14ac:dyDescent="0.25">
      <c r="A10" s="2">
        <v>16</v>
      </c>
      <c r="B10" s="2" t="s">
        <v>83</v>
      </c>
      <c r="C10" s="2" t="s">
        <v>2</v>
      </c>
      <c r="D10" s="4">
        <f>+IF(Tabla1[[#This Row],[Tienda]]&lt;&gt;"", IFERROR( VLOOKUP(Tabla1[[#This Row],[Tienda]],  Hoja1!A:A,   1,   0), "FALTA TIENDA"), "")</f>
        <v>16</v>
      </c>
    </row>
    <row r="11" spans="1:7" x14ac:dyDescent="0.25">
      <c r="A11" s="2">
        <v>17</v>
      </c>
      <c r="B11" s="2" t="s">
        <v>90</v>
      </c>
      <c r="C11" s="2" t="s">
        <v>3</v>
      </c>
      <c r="D11" s="4">
        <f>+IF(Tabla1[[#This Row],[Tienda]]&lt;&gt;"", IFERROR( VLOOKUP(Tabla1[[#This Row],[Tienda]],  Hoja1!A:A,   1,   0), "FALTA TIENDA"), "")</f>
        <v>17</v>
      </c>
    </row>
    <row r="12" spans="1:7" x14ac:dyDescent="0.25">
      <c r="A12" s="2">
        <v>20</v>
      </c>
      <c r="B12" s="2" t="s">
        <v>106</v>
      </c>
      <c r="C12" s="2" t="s">
        <v>2</v>
      </c>
      <c r="D12" s="4">
        <f>+IF(Tabla1[[#This Row],[Tienda]]&lt;&gt;"", IFERROR( VLOOKUP(Tabla1[[#This Row],[Tienda]],  Hoja1!A:A,   1,   0), "FALTA TIENDA"), "")</f>
        <v>20</v>
      </c>
    </row>
    <row r="13" spans="1:7" x14ac:dyDescent="0.25">
      <c r="A13" s="2">
        <v>22</v>
      </c>
      <c r="B13" s="2" t="s">
        <v>107</v>
      </c>
      <c r="C13" s="2" t="s">
        <v>2</v>
      </c>
      <c r="D13" s="4">
        <f>+IF(Tabla1[[#This Row],[Tienda]]&lt;&gt;"", IFERROR( VLOOKUP(Tabla1[[#This Row],[Tienda]],  Hoja1!A:A,   1,   0), "FALTA TIENDA"), "")</f>
        <v>22</v>
      </c>
    </row>
    <row r="14" spans="1:7" x14ac:dyDescent="0.25">
      <c r="A14" s="2">
        <v>24</v>
      </c>
      <c r="B14" s="2" t="s">
        <v>108</v>
      </c>
      <c r="C14" s="2" t="s">
        <v>2</v>
      </c>
      <c r="D14" s="4">
        <f>+IF(Tabla1[[#This Row],[Tienda]]&lt;&gt;"", IFERROR( VLOOKUP(Tabla1[[#This Row],[Tienda]],  Hoja1!A:A,   1,   0), "FALTA TIENDA"), "")</f>
        <v>24</v>
      </c>
    </row>
    <row r="15" spans="1:7" x14ac:dyDescent="0.25">
      <c r="A15" s="2">
        <v>30</v>
      </c>
      <c r="B15" s="2" t="s">
        <v>110</v>
      </c>
      <c r="C15" s="2" t="s">
        <v>2</v>
      </c>
      <c r="D15" s="4">
        <f>+IF(Tabla1[[#This Row],[Tienda]]&lt;&gt;"", IFERROR( VLOOKUP(Tabla1[[#This Row],[Tienda]],  Hoja1!A:A,   1,   0), "FALTA TIENDA"), "")</f>
        <v>30</v>
      </c>
    </row>
    <row r="16" spans="1:7" x14ac:dyDescent="0.25">
      <c r="A16" s="2">
        <v>31</v>
      </c>
      <c r="B16" s="2" t="s">
        <v>111</v>
      </c>
      <c r="C16" s="2" t="s">
        <v>3</v>
      </c>
      <c r="D16" s="4">
        <f>+IF(Tabla1[[#This Row],[Tienda]]&lt;&gt;"", IFERROR( VLOOKUP(Tabla1[[#This Row],[Tienda]],  Hoja1!A:A,   1,   0), "FALTA TIENDA"), "")</f>
        <v>31</v>
      </c>
    </row>
    <row r="17" spans="1:4" x14ac:dyDescent="0.25">
      <c r="A17" s="2">
        <v>32</v>
      </c>
      <c r="B17" s="2" t="s">
        <v>112</v>
      </c>
      <c r="C17" s="2" t="s">
        <v>3</v>
      </c>
      <c r="D17" s="4">
        <f>+IF(Tabla1[[#This Row],[Tienda]]&lt;&gt;"", IFERROR( VLOOKUP(Tabla1[[#This Row],[Tienda]],  Hoja1!A:A,   1,   0), "FALTA TIENDA"), "")</f>
        <v>32</v>
      </c>
    </row>
    <row r="18" spans="1:4" x14ac:dyDescent="0.25">
      <c r="A18" s="2">
        <v>34</v>
      </c>
      <c r="B18" s="2" t="s">
        <v>113</v>
      </c>
      <c r="C18" s="2" t="s">
        <v>3</v>
      </c>
      <c r="D18" s="4">
        <f>+IF(Tabla1[[#This Row],[Tienda]]&lt;&gt;"", IFERROR( VLOOKUP(Tabla1[[#This Row],[Tienda]],  Hoja1!A:A,   1,   0), "FALTA TIENDA"), "")</f>
        <v>34</v>
      </c>
    </row>
    <row r="19" spans="1:4" x14ac:dyDescent="0.25">
      <c r="A19" s="2">
        <v>35</v>
      </c>
      <c r="B19" s="2" t="s">
        <v>114</v>
      </c>
      <c r="C19" s="2" t="s">
        <v>3</v>
      </c>
      <c r="D19" s="4">
        <f>+IF(Tabla1[[#This Row],[Tienda]]&lt;&gt;"", IFERROR( VLOOKUP(Tabla1[[#This Row],[Tienda]],  Hoja1!A:A,   1,   0), "FALTA TIENDA"), "")</f>
        <v>35</v>
      </c>
    </row>
    <row r="20" spans="1:4" x14ac:dyDescent="0.25">
      <c r="A20" s="2">
        <v>36</v>
      </c>
      <c r="B20" s="2" t="s">
        <v>115</v>
      </c>
      <c r="C20" s="2" t="s">
        <v>2</v>
      </c>
      <c r="D20" s="4">
        <f>+IF(Tabla1[[#This Row],[Tienda]]&lt;&gt;"", IFERROR( VLOOKUP(Tabla1[[#This Row],[Tienda]],  Hoja1!A:A,   1,   0), "FALTA TIENDA"), "")</f>
        <v>36</v>
      </c>
    </row>
    <row r="21" spans="1:4" x14ac:dyDescent="0.25">
      <c r="A21" s="2">
        <v>40</v>
      </c>
      <c r="B21" s="2" t="s">
        <v>42</v>
      </c>
      <c r="C21" s="2" t="s">
        <v>2</v>
      </c>
      <c r="D21" s="4" t="str">
        <f>+IF(Tabla1[[#This Row],[Tienda]]&lt;&gt;"", IFERROR( VLOOKUP(Tabla1[[#This Row],[Tienda]],  Hoja1!A:A,   1,   0), "FALTA TIENDA"), "")</f>
        <v>FALTA TIENDA</v>
      </c>
    </row>
    <row r="22" spans="1:4" x14ac:dyDescent="0.25">
      <c r="A22" s="2">
        <v>41</v>
      </c>
      <c r="B22" s="2" t="s">
        <v>117</v>
      </c>
      <c r="C22" s="2" t="s">
        <v>2</v>
      </c>
      <c r="D22" s="4">
        <f>+IF(Tabla1[[#This Row],[Tienda]]&lt;&gt;"", IFERROR( VLOOKUP(Tabla1[[#This Row],[Tienda]],  Hoja1!A:A,   1,   0), "FALTA TIENDA"), "")</f>
        <v>41</v>
      </c>
    </row>
    <row r="23" spans="1:4" x14ac:dyDescent="0.25">
      <c r="A23" s="2">
        <v>42</v>
      </c>
      <c r="B23" s="2" t="s">
        <v>118</v>
      </c>
      <c r="C23" s="2" t="s">
        <v>2</v>
      </c>
      <c r="D23" s="4">
        <f>+IF(Tabla1[[#This Row],[Tienda]]&lt;&gt;"", IFERROR( VLOOKUP(Tabla1[[#This Row],[Tienda]],  Hoja1!A:A,   1,   0), "FALTA TIENDA"), "")</f>
        <v>42</v>
      </c>
    </row>
    <row r="24" spans="1:4" x14ac:dyDescent="0.25">
      <c r="A24" s="2">
        <v>43</v>
      </c>
      <c r="B24" s="2" t="s">
        <v>119</v>
      </c>
      <c r="C24" s="2" t="s">
        <v>2</v>
      </c>
      <c r="D24" s="4">
        <f>+IF(Tabla1[[#This Row],[Tienda]]&lt;&gt;"", IFERROR( VLOOKUP(Tabla1[[#This Row],[Tienda]],  Hoja1!A:A,   1,   0), "FALTA TIENDA"), "")</f>
        <v>43</v>
      </c>
    </row>
    <row r="25" spans="1:4" x14ac:dyDescent="0.25">
      <c r="A25" s="2">
        <v>44</v>
      </c>
      <c r="B25" s="2" t="s">
        <v>120</v>
      </c>
      <c r="C25" s="2" t="s">
        <v>3</v>
      </c>
      <c r="D25" s="4">
        <f>+IF(Tabla1[[#This Row],[Tienda]]&lt;&gt;"", IFERROR( VLOOKUP(Tabla1[[#This Row],[Tienda]],  Hoja1!A:A,   1,   0), "FALTA TIENDA"), "")</f>
        <v>44</v>
      </c>
    </row>
    <row r="26" spans="1:4" x14ac:dyDescent="0.25">
      <c r="A26" s="2">
        <v>46</v>
      </c>
      <c r="B26" s="2" t="s">
        <v>121</v>
      </c>
      <c r="C26" s="2" t="s">
        <v>2</v>
      </c>
      <c r="D26" s="4">
        <f>+IF(Tabla1[[#This Row],[Tienda]]&lt;&gt;"", IFERROR( VLOOKUP(Tabla1[[#This Row],[Tienda]],  Hoja1!A:A,   1,   0), "FALTA TIENDA"), "")</f>
        <v>46</v>
      </c>
    </row>
    <row r="27" spans="1:4" x14ac:dyDescent="0.25">
      <c r="A27" s="2">
        <v>48</v>
      </c>
      <c r="B27" s="2" t="s">
        <v>122</v>
      </c>
      <c r="C27" s="2" t="s">
        <v>2</v>
      </c>
      <c r="D27" s="4">
        <f>+IF(Tabla1[[#This Row],[Tienda]]&lt;&gt;"", IFERROR( VLOOKUP(Tabla1[[#This Row],[Tienda]],  Hoja1!A:A,   1,   0), "FALTA TIENDA"), "")</f>
        <v>48</v>
      </c>
    </row>
    <row r="28" spans="1:4" x14ac:dyDescent="0.25">
      <c r="A28" s="2">
        <v>49</v>
      </c>
      <c r="B28" s="2" t="s">
        <v>123</v>
      </c>
      <c r="C28" s="2" t="s">
        <v>44</v>
      </c>
      <c r="D28" s="4">
        <f>+IF(Tabla1[[#This Row],[Tienda]]&lt;&gt;"", IFERROR( VLOOKUP(Tabla1[[#This Row],[Tienda]],  Hoja1!A:A,   1,   0), "FALTA TIENDA"), "")</f>
        <v>49</v>
      </c>
    </row>
    <row r="29" spans="1:4" x14ac:dyDescent="0.25">
      <c r="A29" s="2">
        <v>50</v>
      </c>
      <c r="B29" s="2" t="s">
        <v>125</v>
      </c>
      <c r="C29" s="2" t="s">
        <v>4</v>
      </c>
      <c r="D29" s="4">
        <f>+IF(Tabla1[[#This Row],[Tienda]]&lt;&gt;"", IFERROR( VLOOKUP(Tabla1[[#This Row],[Tienda]],  Hoja1!A:A,   1,   0), "FALTA TIENDA"), "")</f>
        <v>50</v>
      </c>
    </row>
    <row r="30" spans="1:4" x14ac:dyDescent="0.25">
      <c r="A30" s="2">
        <v>51</v>
      </c>
      <c r="B30" s="2" t="s">
        <v>126</v>
      </c>
      <c r="C30" s="2" t="s">
        <v>43</v>
      </c>
      <c r="D30" s="4">
        <f>+IF(Tabla1[[#This Row],[Tienda]]&lt;&gt;"", IFERROR( VLOOKUP(Tabla1[[#This Row],[Tienda]],  Hoja1!A:A,   1,   0), "FALTA TIENDA"), "")</f>
        <v>51</v>
      </c>
    </row>
    <row r="31" spans="1:4" x14ac:dyDescent="0.25">
      <c r="A31" s="2">
        <v>52</v>
      </c>
      <c r="B31" s="2" t="s">
        <v>1</v>
      </c>
      <c r="C31" s="2" t="s">
        <v>4</v>
      </c>
      <c r="D31" s="4">
        <f>+IF(Tabla1[[#This Row],[Tienda]]&lt;&gt;"", IFERROR( VLOOKUP(Tabla1[[#This Row],[Tienda]],  Hoja1!A:A,   1,   0), "FALTA TIENDA"), "")</f>
        <v>52</v>
      </c>
    </row>
    <row r="32" spans="1:4" x14ac:dyDescent="0.25">
      <c r="A32" s="2">
        <v>54</v>
      </c>
      <c r="B32" s="2" t="s">
        <v>127</v>
      </c>
      <c r="C32" s="2" t="s">
        <v>43</v>
      </c>
      <c r="D32" s="4">
        <f>+IF(Tabla1[[#This Row],[Tienda]]&lt;&gt;"", IFERROR( VLOOKUP(Tabla1[[#This Row],[Tienda]],  Hoja1!A:A,   1,   0), "FALTA TIENDA"), "")</f>
        <v>54</v>
      </c>
    </row>
    <row r="33" spans="1:4" x14ac:dyDescent="0.25">
      <c r="A33" s="2">
        <v>55</v>
      </c>
      <c r="B33" s="2" t="s">
        <v>128</v>
      </c>
      <c r="C33" s="2" t="s">
        <v>43</v>
      </c>
      <c r="D33" s="4">
        <f>+IF(Tabla1[[#This Row],[Tienda]]&lt;&gt;"", IFERROR( VLOOKUP(Tabla1[[#This Row],[Tienda]],  Hoja1!A:A,   1,   0), "FALTA TIENDA"), "")</f>
        <v>55</v>
      </c>
    </row>
    <row r="34" spans="1:4" x14ac:dyDescent="0.25">
      <c r="A34" s="2">
        <v>56</v>
      </c>
      <c r="B34" s="2" t="s">
        <v>129</v>
      </c>
      <c r="C34" s="2" t="s">
        <v>4</v>
      </c>
      <c r="D34" s="4">
        <f>+IF(Tabla1[[#This Row],[Tienda]]&lt;&gt;"", IFERROR( VLOOKUP(Tabla1[[#This Row],[Tienda]],  Hoja1!A:A,   1,   0), "FALTA TIENDA"), "")</f>
        <v>56</v>
      </c>
    </row>
    <row r="35" spans="1:4" x14ac:dyDescent="0.25">
      <c r="A35" s="2">
        <v>57</v>
      </c>
      <c r="B35" s="2" t="s">
        <v>130</v>
      </c>
      <c r="C35" s="2" t="s">
        <v>43</v>
      </c>
      <c r="D35" s="4">
        <f>+IF(Tabla1[[#This Row],[Tienda]]&lt;&gt;"", IFERROR( VLOOKUP(Tabla1[[#This Row],[Tienda]],  Hoja1!A:A,   1,   0), "FALTA TIENDA"), "")</f>
        <v>57</v>
      </c>
    </row>
    <row r="36" spans="1:4" x14ac:dyDescent="0.25">
      <c r="A36" s="2">
        <v>62</v>
      </c>
      <c r="B36" s="2" t="s">
        <v>132</v>
      </c>
      <c r="C36" s="2" t="s">
        <v>43</v>
      </c>
      <c r="D36" s="4">
        <f>+IF(Tabla1[[#This Row],[Tienda]]&lt;&gt;"", IFERROR( VLOOKUP(Tabla1[[#This Row],[Tienda]],  Hoja1!A:A,   1,   0), "FALTA TIENDA"), "")</f>
        <v>62</v>
      </c>
    </row>
    <row r="37" spans="1:4" x14ac:dyDescent="0.25">
      <c r="A37" s="2">
        <v>64</v>
      </c>
      <c r="B37" s="2" t="s">
        <v>133</v>
      </c>
      <c r="C37" s="2" t="s">
        <v>4</v>
      </c>
      <c r="D37" s="4">
        <f>+IF(Tabla1[[#This Row],[Tienda]]&lt;&gt;"", IFERROR( VLOOKUP(Tabla1[[#This Row],[Tienda]],  Hoja1!A:A,   1,   0), "FALTA TIENDA"), "")</f>
        <v>64</v>
      </c>
    </row>
    <row r="38" spans="1:4" x14ac:dyDescent="0.25">
      <c r="A38" s="2">
        <v>65</v>
      </c>
      <c r="B38" s="2" t="s">
        <v>134</v>
      </c>
      <c r="C38" s="2" t="s">
        <v>4</v>
      </c>
      <c r="D38" s="4">
        <f>+IF(Tabla1[[#This Row],[Tienda]]&lt;&gt;"", IFERROR( VLOOKUP(Tabla1[[#This Row],[Tienda]],  Hoja1!A:A,   1,   0), "FALTA TIENDA"), "")</f>
        <v>65</v>
      </c>
    </row>
    <row r="39" spans="1:4" x14ac:dyDescent="0.25">
      <c r="A39" s="2">
        <v>66</v>
      </c>
      <c r="B39" s="2" t="s">
        <v>135</v>
      </c>
      <c r="C39" s="2" t="s">
        <v>44</v>
      </c>
      <c r="D39" s="4">
        <f>+IF(Tabla1[[#This Row],[Tienda]]&lt;&gt;"", IFERROR( VLOOKUP(Tabla1[[#This Row],[Tienda]],  Hoja1!A:A,   1,   0), "FALTA TIENDA"), "")</f>
        <v>66</v>
      </c>
    </row>
    <row r="40" spans="1:4" x14ac:dyDescent="0.25">
      <c r="A40" s="2">
        <v>67</v>
      </c>
      <c r="B40" s="2" t="s">
        <v>136</v>
      </c>
      <c r="C40" s="2" t="s">
        <v>4</v>
      </c>
      <c r="D40" s="4">
        <f>+IF(Tabla1[[#This Row],[Tienda]]&lt;&gt;"", IFERROR( VLOOKUP(Tabla1[[#This Row],[Tienda]],  Hoja1!A:A,   1,   0), "FALTA TIENDA"), "")</f>
        <v>67</v>
      </c>
    </row>
    <row r="41" spans="1:4" x14ac:dyDescent="0.25">
      <c r="A41" s="2">
        <v>68</v>
      </c>
      <c r="B41" s="2" t="s">
        <v>137</v>
      </c>
      <c r="C41" s="2" t="s">
        <v>3</v>
      </c>
      <c r="D41" s="4">
        <f>+IF(Tabla1[[#This Row],[Tienda]]&lt;&gt;"", IFERROR( VLOOKUP(Tabla1[[#This Row],[Tienda]],  Hoja1!A:A,   1,   0), "FALTA TIENDA"), "")</f>
        <v>68</v>
      </c>
    </row>
    <row r="42" spans="1:4" x14ac:dyDescent="0.25">
      <c r="A42" s="2">
        <v>70</v>
      </c>
      <c r="B42" s="2" t="s">
        <v>139</v>
      </c>
      <c r="C42" s="2" t="s">
        <v>43</v>
      </c>
      <c r="D42" s="4">
        <f>+IF(Tabla1[[#This Row],[Tienda]]&lt;&gt;"", IFERROR( VLOOKUP(Tabla1[[#This Row],[Tienda]],  Hoja1!A:A,   1,   0), "FALTA TIENDA"), "")</f>
        <v>70</v>
      </c>
    </row>
    <row r="43" spans="1:4" x14ac:dyDescent="0.25">
      <c r="A43" s="2">
        <v>72</v>
      </c>
      <c r="B43" s="2" t="s">
        <v>140</v>
      </c>
      <c r="C43" s="2" t="s">
        <v>2</v>
      </c>
      <c r="D43" s="4">
        <f>+IF(Tabla1[[#This Row],[Tienda]]&lt;&gt;"", IFERROR( VLOOKUP(Tabla1[[#This Row],[Tienda]],  Hoja1!A:A,   1,   0), "FALTA TIENDA"), "")</f>
        <v>72</v>
      </c>
    </row>
    <row r="44" spans="1:4" x14ac:dyDescent="0.25">
      <c r="A44" s="2">
        <v>73</v>
      </c>
      <c r="B44" s="2" t="s">
        <v>141</v>
      </c>
      <c r="C44" s="2" t="s">
        <v>2</v>
      </c>
      <c r="D44" s="4">
        <f>+IF(Tabla1[[#This Row],[Tienda]]&lt;&gt;"", IFERROR( VLOOKUP(Tabla1[[#This Row],[Tienda]],  Hoja1!A:A,   1,   0), "FALTA TIENDA"), "")</f>
        <v>73</v>
      </c>
    </row>
    <row r="45" spans="1:4" x14ac:dyDescent="0.25">
      <c r="A45" s="2">
        <v>81</v>
      </c>
      <c r="B45" s="2" t="s">
        <v>143</v>
      </c>
      <c r="C45" s="2" t="s">
        <v>3</v>
      </c>
      <c r="D45" s="4">
        <f>+IF(Tabla1[[#This Row],[Tienda]]&lt;&gt;"", IFERROR( VLOOKUP(Tabla1[[#This Row],[Tienda]],  Hoja1!A:A,   1,   0), "FALTA TIENDA"), "")</f>
        <v>81</v>
      </c>
    </row>
    <row r="46" spans="1:4" x14ac:dyDescent="0.25">
      <c r="A46" s="2">
        <v>84</v>
      </c>
      <c r="B46" s="2" t="s">
        <v>144</v>
      </c>
      <c r="C46" s="2" t="s">
        <v>3</v>
      </c>
      <c r="D46" s="4">
        <f>+IF(Tabla1[[#This Row],[Tienda]]&lt;&gt;"", IFERROR( VLOOKUP(Tabla1[[#This Row],[Tienda]],  Hoja1!A:A,   1,   0), "FALTA TIENDA"), "")</f>
        <v>84</v>
      </c>
    </row>
    <row r="47" spans="1:4" x14ac:dyDescent="0.25">
      <c r="A47" s="2">
        <v>86</v>
      </c>
      <c r="B47" s="2" t="s">
        <v>145</v>
      </c>
      <c r="C47" s="2" t="s">
        <v>5</v>
      </c>
      <c r="D47" s="4">
        <f>+IF(Tabla1[[#This Row],[Tienda]]&lt;&gt;"", IFERROR( VLOOKUP(Tabla1[[#This Row],[Tienda]],  Hoja1!A:A,   1,   0), "FALTA TIENDA"), "")</f>
        <v>86</v>
      </c>
    </row>
    <row r="48" spans="1:4" x14ac:dyDescent="0.25">
      <c r="A48" s="2">
        <v>89</v>
      </c>
      <c r="B48" s="2" t="s">
        <v>146</v>
      </c>
      <c r="C48" s="2" t="s">
        <v>5</v>
      </c>
      <c r="D48" s="4">
        <f>+IF(Tabla1[[#This Row],[Tienda]]&lt;&gt;"", IFERROR( VLOOKUP(Tabla1[[#This Row],[Tienda]],  Hoja1!A:A,   1,   0), "FALTA TIENDA"), "")</f>
        <v>89</v>
      </c>
    </row>
    <row r="49" spans="1:4" x14ac:dyDescent="0.25">
      <c r="A49" s="2">
        <v>90</v>
      </c>
      <c r="B49" s="2" t="s">
        <v>147</v>
      </c>
      <c r="C49" s="2" t="s">
        <v>5</v>
      </c>
      <c r="D49" s="4">
        <f>+IF(Tabla1[[#This Row],[Tienda]]&lt;&gt;"", IFERROR( VLOOKUP(Tabla1[[#This Row],[Tienda]],  Hoja1!A:A,   1,   0), "FALTA TIENDA"), "")</f>
        <v>90</v>
      </c>
    </row>
    <row r="50" spans="1:4" x14ac:dyDescent="0.25">
      <c r="A50" s="2">
        <v>96</v>
      </c>
      <c r="B50" s="2" t="s">
        <v>148</v>
      </c>
      <c r="C50" s="2" t="s">
        <v>6</v>
      </c>
      <c r="D50" s="4">
        <f>+IF(Tabla1[[#This Row],[Tienda]]&lt;&gt;"", IFERROR( VLOOKUP(Tabla1[[#This Row],[Tienda]],  Hoja1!A:A,   1,   0), "FALTA TIENDA"), "")</f>
        <v>96</v>
      </c>
    </row>
    <row r="51" spans="1:4" x14ac:dyDescent="0.25">
      <c r="A51" s="2">
        <v>97</v>
      </c>
      <c r="B51" s="2" t="s">
        <v>149</v>
      </c>
      <c r="C51" s="2" t="s">
        <v>6</v>
      </c>
      <c r="D51" s="4">
        <f>+IF(Tabla1[[#This Row],[Tienda]]&lt;&gt;"", IFERROR( VLOOKUP(Tabla1[[#This Row],[Tienda]],  Hoja1!A:A,   1,   0), "FALTA TIENDA"), "")</f>
        <v>97</v>
      </c>
    </row>
    <row r="52" spans="1:4" x14ac:dyDescent="0.25">
      <c r="A52" s="2">
        <v>98</v>
      </c>
      <c r="B52" s="2" t="s">
        <v>150</v>
      </c>
      <c r="C52" s="2" t="s">
        <v>6</v>
      </c>
      <c r="D52" s="4">
        <f>+IF(Tabla1[[#This Row],[Tienda]]&lt;&gt;"", IFERROR( VLOOKUP(Tabla1[[#This Row],[Tienda]],  Hoja1!A:A,   1,   0), "FALTA TIENDA"), "")</f>
        <v>98</v>
      </c>
    </row>
    <row r="53" spans="1:4" x14ac:dyDescent="0.25">
      <c r="A53" s="2">
        <v>102</v>
      </c>
      <c r="B53" s="2" t="s">
        <v>46</v>
      </c>
      <c r="C53" s="2" t="s">
        <v>43</v>
      </c>
      <c r="D53" s="4">
        <f>+IF(Tabla1[[#This Row],[Tienda]]&lt;&gt;"", IFERROR( VLOOKUP(Tabla1[[#This Row],[Tienda]],  Hoja1!A:A,   1,   0), "FALTA TIENDA"), "")</f>
        <v>102</v>
      </c>
    </row>
    <row r="54" spans="1:4" x14ac:dyDescent="0.25">
      <c r="A54" s="2">
        <v>103</v>
      </c>
      <c r="B54" s="2" t="s">
        <v>47</v>
      </c>
      <c r="C54" s="2" t="s">
        <v>2</v>
      </c>
      <c r="D54" s="4">
        <f>+IF(Tabla1[[#This Row],[Tienda]]&lt;&gt;"", IFERROR( VLOOKUP(Tabla1[[#This Row],[Tienda]],  Hoja1!A:A,   1,   0), "FALTA TIENDA"), "")</f>
        <v>103</v>
      </c>
    </row>
    <row r="55" spans="1:4" x14ac:dyDescent="0.25">
      <c r="A55" s="2">
        <v>104</v>
      </c>
      <c r="B55" s="2" t="s">
        <v>48</v>
      </c>
      <c r="C55" s="2" t="s">
        <v>10</v>
      </c>
      <c r="D55" s="4">
        <f>+IF(Tabla1[[#This Row],[Tienda]]&lt;&gt;"", IFERROR( VLOOKUP(Tabla1[[#This Row],[Tienda]],  Hoja1!A:A,   1,   0), "FALTA TIENDA"), "")</f>
        <v>104</v>
      </c>
    </row>
    <row r="56" spans="1:4" x14ac:dyDescent="0.25">
      <c r="A56" s="2">
        <v>105</v>
      </c>
      <c r="B56" s="2" t="s">
        <v>49</v>
      </c>
      <c r="C56" s="2" t="s">
        <v>10</v>
      </c>
      <c r="D56" s="4">
        <f>+IF(Tabla1[[#This Row],[Tienda]]&lt;&gt;"", IFERROR( VLOOKUP(Tabla1[[#This Row],[Tienda]],  Hoja1!A:A,   1,   0), "FALTA TIENDA"), "")</f>
        <v>105</v>
      </c>
    </row>
    <row r="57" spans="1:4" x14ac:dyDescent="0.25">
      <c r="A57" s="2">
        <v>107</v>
      </c>
      <c r="B57" s="2" t="s">
        <v>50</v>
      </c>
      <c r="C57" s="2" t="s">
        <v>5</v>
      </c>
      <c r="D57" s="4">
        <f>+IF(Tabla1[[#This Row],[Tienda]]&lt;&gt;"", IFERROR( VLOOKUP(Tabla1[[#This Row],[Tienda]],  Hoja1!A:A,   1,   0), "FALTA TIENDA"), "")</f>
        <v>107</v>
      </c>
    </row>
    <row r="58" spans="1:4" x14ac:dyDescent="0.25">
      <c r="A58" s="2">
        <v>108</v>
      </c>
      <c r="B58" s="2" t="s">
        <v>51</v>
      </c>
      <c r="C58" s="2" t="s">
        <v>10</v>
      </c>
      <c r="D58" s="4">
        <f>+IF(Tabla1[[#This Row],[Tienda]]&lt;&gt;"", IFERROR( VLOOKUP(Tabla1[[#This Row],[Tienda]],  Hoja1!A:A,   1,   0), "FALTA TIENDA"), "")</f>
        <v>108</v>
      </c>
    </row>
    <row r="59" spans="1:4" x14ac:dyDescent="0.25">
      <c r="A59" s="2">
        <v>109</v>
      </c>
      <c r="B59" s="2" t="s">
        <v>52</v>
      </c>
      <c r="C59" s="2" t="s">
        <v>6</v>
      </c>
      <c r="D59" s="4">
        <f>+IF(Tabla1[[#This Row],[Tienda]]&lt;&gt;"", IFERROR( VLOOKUP(Tabla1[[#This Row],[Tienda]],  Hoja1!A:A,   1,   0), "FALTA TIENDA"), "")</f>
        <v>109</v>
      </c>
    </row>
    <row r="60" spans="1:4" x14ac:dyDescent="0.25">
      <c r="A60" s="2">
        <v>110</v>
      </c>
      <c r="B60" s="2" t="s">
        <v>54</v>
      </c>
      <c r="C60" s="2" t="s">
        <v>44</v>
      </c>
      <c r="D60" s="4">
        <f>+IF(Tabla1[[#This Row],[Tienda]]&lt;&gt;"", IFERROR( VLOOKUP(Tabla1[[#This Row],[Tienda]],  Hoja1!A:A,   1,   0), "FALTA TIENDA"), "")</f>
        <v>110</v>
      </c>
    </row>
    <row r="61" spans="1:4" x14ac:dyDescent="0.25">
      <c r="A61" s="2">
        <v>114</v>
      </c>
      <c r="B61" s="2" t="s">
        <v>55</v>
      </c>
      <c r="C61" s="2" t="s">
        <v>2</v>
      </c>
      <c r="D61" s="4">
        <f>+IF(Tabla1[[#This Row],[Tienda]]&lt;&gt;"", IFERROR( VLOOKUP(Tabla1[[#This Row],[Tienda]],  Hoja1!A:A,   1,   0), "FALTA TIENDA"), "")</f>
        <v>114</v>
      </c>
    </row>
    <row r="62" spans="1:4" x14ac:dyDescent="0.25">
      <c r="A62" s="2">
        <v>115</v>
      </c>
      <c r="B62" s="2" t="s">
        <v>56</v>
      </c>
      <c r="C62" s="2" t="s">
        <v>2</v>
      </c>
      <c r="D62" s="4">
        <f>+IF(Tabla1[[#This Row],[Tienda]]&lt;&gt;"", IFERROR( VLOOKUP(Tabla1[[#This Row],[Tienda]],  Hoja1!A:A,   1,   0), "FALTA TIENDA"), "")</f>
        <v>115</v>
      </c>
    </row>
    <row r="63" spans="1:4" x14ac:dyDescent="0.25">
      <c r="A63" s="2">
        <v>116</v>
      </c>
      <c r="B63" s="2" t="s">
        <v>57</v>
      </c>
      <c r="C63" s="2" t="s">
        <v>2</v>
      </c>
      <c r="D63" s="4">
        <f>+IF(Tabla1[[#This Row],[Tienda]]&lt;&gt;"", IFERROR( VLOOKUP(Tabla1[[#This Row],[Tienda]],  Hoja1!A:A,   1,   0), "FALTA TIENDA"), "")</f>
        <v>116</v>
      </c>
    </row>
    <row r="64" spans="1:4" x14ac:dyDescent="0.25">
      <c r="A64" s="2">
        <v>120</v>
      </c>
      <c r="B64" s="2" t="s">
        <v>58</v>
      </c>
      <c r="C64" s="2" t="s">
        <v>43</v>
      </c>
      <c r="D64" s="4">
        <f>+IF(Tabla1[[#This Row],[Tienda]]&lt;&gt;"", IFERROR( VLOOKUP(Tabla1[[#This Row],[Tienda]],  Hoja1!A:A,   1,   0), "FALTA TIENDA"), "")</f>
        <v>120</v>
      </c>
    </row>
    <row r="65" spans="1:4" x14ac:dyDescent="0.25">
      <c r="A65" s="2">
        <v>121</v>
      </c>
      <c r="B65" s="2" t="s">
        <v>59</v>
      </c>
      <c r="C65" s="2" t="s">
        <v>2</v>
      </c>
      <c r="D65" s="4">
        <f>+IF(Tabla1[[#This Row],[Tienda]]&lt;&gt;"", IFERROR( VLOOKUP(Tabla1[[#This Row],[Tienda]],  Hoja1!A:A,   1,   0), "FALTA TIENDA"), "")</f>
        <v>121</v>
      </c>
    </row>
    <row r="66" spans="1:4" x14ac:dyDescent="0.25">
      <c r="A66" s="2">
        <v>123</v>
      </c>
      <c r="B66" s="2" t="s">
        <v>60</v>
      </c>
      <c r="C66" s="2" t="s">
        <v>10</v>
      </c>
      <c r="D66" s="4">
        <f>+IF(Tabla1[[#This Row],[Tienda]]&lt;&gt;"", IFERROR( VLOOKUP(Tabla1[[#This Row],[Tienda]],  Hoja1!A:A,   1,   0), "FALTA TIENDA"), "")</f>
        <v>123</v>
      </c>
    </row>
    <row r="67" spans="1:4" x14ac:dyDescent="0.25">
      <c r="A67" s="2">
        <v>124</v>
      </c>
      <c r="B67" s="2" t="s">
        <v>61</v>
      </c>
      <c r="C67" s="2" t="s">
        <v>2</v>
      </c>
      <c r="D67" s="4">
        <f>+IF(Tabla1[[#This Row],[Tienda]]&lt;&gt;"", IFERROR( VLOOKUP(Tabla1[[#This Row],[Tienda]],  Hoja1!A:A,   1,   0), "FALTA TIENDA"), "")</f>
        <v>124</v>
      </c>
    </row>
    <row r="68" spans="1:4" x14ac:dyDescent="0.25">
      <c r="A68" s="2">
        <v>125</v>
      </c>
      <c r="B68" s="2" t="s">
        <v>62</v>
      </c>
      <c r="C68" s="2" t="s">
        <v>3</v>
      </c>
      <c r="D68" s="4">
        <f>+IF(Tabla1[[#This Row],[Tienda]]&lt;&gt;"", IFERROR( VLOOKUP(Tabla1[[#This Row],[Tienda]],  Hoja1!A:A,   1,   0), "FALTA TIENDA"), "")</f>
        <v>125</v>
      </c>
    </row>
    <row r="69" spans="1:4" x14ac:dyDescent="0.25">
      <c r="A69" s="2">
        <v>126</v>
      </c>
      <c r="B69" s="2" t="s">
        <v>63</v>
      </c>
      <c r="C69" s="2" t="s">
        <v>3</v>
      </c>
      <c r="D69" s="4">
        <f>+IF(Tabla1[[#This Row],[Tienda]]&lt;&gt;"", IFERROR( VLOOKUP(Tabla1[[#This Row],[Tienda]],  Hoja1!A:A,   1,   0), "FALTA TIENDA"), "")</f>
        <v>126</v>
      </c>
    </row>
    <row r="70" spans="1:4" x14ac:dyDescent="0.25">
      <c r="A70" s="2">
        <v>127</v>
      </c>
      <c r="B70" s="2" t="s">
        <v>64</v>
      </c>
      <c r="C70" s="2" t="s">
        <v>3</v>
      </c>
      <c r="D70" s="4">
        <f>+IF(Tabla1[[#This Row],[Tienda]]&lt;&gt;"", IFERROR( VLOOKUP(Tabla1[[#This Row],[Tienda]],  Hoja1!A:A,   1,   0), "FALTA TIENDA"), "")</f>
        <v>127</v>
      </c>
    </row>
    <row r="71" spans="1:4" x14ac:dyDescent="0.25">
      <c r="A71" s="2">
        <v>129</v>
      </c>
      <c r="B71" s="2" t="s">
        <v>65</v>
      </c>
      <c r="C71" s="2" t="s">
        <v>3</v>
      </c>
      <c r="D71" s="4">
        <f>+IF(Tabla1[[#This Row],[Tienda]]&lt;&gt;"", IFERROR( VLOOKUP(Tabla1[[#This Row],[Tienda]],  Hoja1!A:A,   1,   0), "FALTA TIENDA"), "")</f>
        <v>129</v>
      </c>
    </row>
    <row r="72" spans="1:4" x14ac:dyDescent="0.25">
      <c r="A72" s="2">
        <v>130</v>
      </c>
      <c r="B72" s="2" t="s">
        <v>66</v>
      </c>
      <c r="C72" s="2" t="s">
        <v>6</v>
      </c>
      <c r="D72" s="4">
        <f>+IF(Tabla1[[#This Row],[Tienda]]&lt;&gt;"", IFERROR( VLOOKUP(Tabla1[[#This Row],[Tienda]],  Hoja1!A:A,   1,   0), "FALTA TIENDA"), "")</f>
        <v>130</v>
      </c>
    </row>
    <row r="73" spans="1:4" x14ac:dyDescent="0.25">
      <c r="A73" s="2">
        <v>132</v>
      </c>
      <c r="B73" s="2" t="s">
        <v>67</v>
      </c>
      <c r="C73" s="2" t="s">
        <v>44</v>
      </c>
      <c r="D73" s="4">
        <f>+IF(Tabla1[[#This Row],[Tienda]]&lt;&gt;"", IFERROR( VLOOKUP(Tabla1[[#This Row],[Tienda]],  Hoja1!A:A,   1,   0), "FALTA TIENDA"), "")</f>
        <v>132</v>
      </c>
    </row>
    <row r="74" spans="1:4" x14ac:dyDescent="0.25">
      <c r="A74" s="2">
        <v>133</v>
      </c>
      <c r="B74" s="2" t="s">
        <v>68</v>
      </c>
      <c r="C74" s="2" t="s">
        <v>10</v>
      </c>
      <c r="D74" s="4">
        <f>+IF(Tabla1[[#This Row],[Tienda]]&lt;&gt;"", IFERROR( VLOOKUP(Tabla1[[#This Row],[Tienda]],  Hoja1!A:A,   1,   0), "FALTA TIENDA"), "")</f>
        <v>133</v>
      </c>
    </row>
    <row r="75" spans="1:4" x14ac:dyDescent="0.25">
      <c r="A75" s="2">
        <v>134</v>
      </c>
      <c r="B75" s="2" t="s">
        <v>69</v>
      </c>
      <c r="C75" s="2" t="s">
        <v>10</v>
      </c>
      <c r="D75" s="4">
        <f>+IF(Tabla1[[#This Row],[Tienda]]&lt;&gt;"", IFERROR( VLOOKUP(Tabla1[[#This Row],[Tienda]],  Hoja1!A:A,   1,   0), "FALTA TIENDA"), "")</f>
        <v>134</v>
      </c>
    </row>
    <row r="76" spans="1:4" x14ac:dyDescent="0.25">
      <c r="A76" s="2">
        <v>137</v>
      </c>
      <c r="B76" s="2" t="s">
        <v>70</v>
      </c>
      <c r="C76" s="2" t="s">
        <v>4</v>
      </c>
      <c r="D76" s="4">
        <f>+IF(Tabla1[[#This Row],[Tienda]]&lt;&gt;"", IFERROR( VLOOKUP(Tabla1[[#This Row],[Tienda]],  Hoja1!A:A,   1,   0), "FALTA TIENDA"), "")</f>
        <v>137</v>
      </c>
    </row>
    <row r="77" spans="1:4" x14ac:dyDescent="0.25">
      <c r="A77" s="2">
        <v>138</v>
      </c>
      <c r="B77" s="2" t="s">
        <v>71</v>
      </c>
      <c r="C77" s="2" t="s">
        <v>4</v>
      </c>
      <c r="D77" s="4">
        <f>+IF(Tabla1[[#This Row],[Tienda]]&lt;&gt;"", IFERROR( VLOOKUP(Tabla1[[#This Row],[Tienda]],  Hoja1!A:A,   1,   0), "FALTA TIENDA"), "")</f>
        <v>138</v>
      </c>
    </row>
    <row r="78" spans="1:4" x14ac:dyDescent="0.25">
      <c r="A78" s="2">
        <v>139</v>
      </c>
      <c r="B78" s="2" t="s">
        <v>72</v>
      </c>
      <c r="C78" s="2" t="s">
        <v>3</v>
      </c>
      <c r="D78" s="4">
        <f>+IF(Tabla1[[#This Row],[Tienda]]&lt;&gt;"", IFERROR( VLOOKUP(Tabla1[[#This Row],[Tienda]],  Hoja1!A:A,   1,   0), "FALTA TIENDA"), "")</f>
        <v>139</v>
      </c>
    </row>
    <row r="79" spans="1:4" x14ac:dyDescent="0.25">
      <c r="A79" s="2">
        <v>140</v>
      </c>
      <c r="B79" s="2" t="s">
        <v>74</v>
      </c>
      <c r="C79" s="2" t="s">
        <v>3</v>
      </c>
      <c r="D79" s="4">
        <f>+IF(Tabla1[[#This Row],[Tienda]]&lt;&gt;"", IFERROR( VLOOKUP(Tabla1[[#This Row],[Tienda]],  Hoja1!A:A,   1,   0), "FALTA TIENDA"), "")</f>
        <v>140</v>
      </c>
    </row>
    <row r="80" spans="1:4" x14ac:dyDescent="0.25">
      <c r="A80" s="2">
        <v>144</v>
      </c>
      <c r="B80" s="2" t="s">
        <v>75</v>
      </c>
      <c r="C80" s="2" t="s">
        <v>3</v>
      </c>
      <c r="D80" s="4">
        <f>+IF(Tabla1[[#This Row],[Tienda]]&lt;&gt;"", IFERROR( VLOOKUP(Tabla1[[#This Row],[Tienda]],  Hoja1!A:A,   1,   0), "FALTA TIENDA"), "")</f>
        <v>144</v>
      </c>
    </row>
    <row r="81" spans="1:4" x14ac:dyDescent="0.25">
      <c r="A81" s="2">
        <v>146</v>
      </c>
      <c r="B81" s="2" t="s">
        <v>76</v>
      </c>
      <c r="C81" s="2" t="s">
        <v>3</v>
      </c>
      <c r="D81" s="4">
        <f>+IF(Tabla1[[#This Row],[Tienda]]&lt;&gt;"", IFERROR( VLOOKUP(Tabla1[[#This Row],[Tienda]],  Hoja1!A:A,   1,   0), "FALTA TIENDA"), "")</f>
        <v>146</v>
      </c>
    </row>
    <row r="82" spans="1:4" x14ac:dyDescent="0.25">
      <c r="A82" s="2">
        <v>147</v>
      </c>
      <c r="B82" s="2" t="s">
        <v>77</v>
      </c>
      <c r="C82" s="2" t="s">
        <v>3</v>
      </c>
      <c r="D82" s="4">
        <f>+IF(Tabla1[[#This Row],[Tienda]]&lt;&gt;"", IFERROR( VLOOKUP(Tabla1[[#This Row],[Tienda]],  Hoja1!A:A,   1,   0), "FALTA TIENDA"), "")</f>
        <v>147</v>
      </c>
    </row>
    <row r="83" spans="1:4" x14ac:dyDescent="0.25">
      <c r="A83" s="2">
        <v>148</v>
      </c>
      <c r="B83" s="2" t="s">
        <v>78</v>
      </c>
      <c r="C83" s="2" t="s">
        <v>3</v>
      </c>
      <c r="D83" s="4">
        <f>+IF(Tabla1[[#This Row],[Tienda]]&lt;&gt;"", IFERROR( VLOOKUP(Tabla1[[#This Row],[Tienda]],  Hoja1!A:A,   1,   0), "FALTA TIENDA"), "")</f>
        <v>148</v>
      </c>
    </row>
    <row r="84" spans="1:4" x14ac:dyDescent="0.25">
      <c r="A84" s="2">
        <v>151</v>
      </c>
      <c r="B84" s="2" t="s">
        <v>79</v>
      </c>
      <c r="C84" s="2" t="s">
        <v>6</v>
      </c>
      <c r="D84" s="4">
        <f>+IF(Tabla1[[#This Row],[Tienda]]&lt;&gt;"", IFERROR( VLOOKUP(Tabla1[[#This Row],[Tienda]],  Hoja1!A:A,   1,   0), "FALTA TIENDA"), "")</f>
        <v>151</v>
      </c>
    </row>
    <row r="85" spans="1:4" x14ac:dyDescent="0.25">
      <c r="A85" s="2">
        <v>155</v>
      </c>
      <c r="B85" s="2" t="s">
        <v>80</v>
      </c>
      <c r="C85" s="2" t="s">
        <v>3</v>
      </c>
      <c r="D85" s="4">
        <f>+IF(Tabla1[[#This Row],[Tienda]]&lt;&gt;"", IFERROR( VLOOKUP(Tabla1[[#This Row],[Tienda]],  Hoja1!A:A,   1,   0), "FALTA TIENDA"), "")</f>
        <v>155</v>
      </c>
    </row>
    <row r="86" spans="1:4" x14ac:dyDescent="0.25">
      <c r="A86" s="2">
        <v>156</v>
      </c>
      <c r="B86" s="2" t="s">
        <v>81</v>
      </c>
      <c r="C86" s="2" t="s">
        <v>3</v>
      </c>
      <c r="D86" s="4">
        <f>+IF(Tabla1[[#This Row],[Tienda]]&lt;&gt;"", IFERROR( VLOOKUP(Tabla1[[#This Row],[Tienda]],  Hoja1!A:A,   1,   0), "FALTA TIENDA"), "")</f>
        <v>156</v>
      </c>
    </row>
    <row r="87" spans="1:4" x14ac:dyDescent="0.25">
      <c r="A87" s="2">
        <v>158</v>
      </c>
      <c r="B87" s="2" t="s">
        <v>82</v>
      </c>
      <c r="C87" s="2" t="s">
        <v>3</v>
      </c>
      <c r="D87" s="4">
        <f>+IF(Tabla1[[#This Row],[Tienda]]&lt;&gt;"", IFERROR( VLOOKUP(Tabla1[[#This Row],[Tienda]],  Hoja1!A:A,   1,   0), "FALTA TIENDA"), "")</f>
        <v>158</v>
      </c>
    </row>
    <row r="88" spans="1:4" x14ac:dyDescent="0.25">
      <c r="A88" s="2">
        <v>161</v>
      </c>
      <c r="B88" s="2" t="s">
        <v>84</v>
      </c>
      <c r="C88" s="2" t="s">
        <v>2</v>
      </c>
      <c r="D88" s="4">
        <f>+IF(Tabla1[[#This Row],[Tienda]]&lt;&gt;"", IFERROR( VLOOKUP(Tabla1[[#This Row],[Tienda]],  Hoja1!A:A,   1,   0), "FALTA TIENDA"), "")</f>
        <v>161</v>
      </c>
    </row>
    <row r="89" spans="1:4" x14ac:dyDescent="0.25">
      <c r="A89" s="2">
        <v>162</v>
      </c>
      <c r="B89" s="2" t="s">
        <v>85</v>
      </c>
      <c r="C89" s="2" t="s">
        <v>3</v>
      </c>
      <c r="D89" s="4">
        <f>+IF(Tabla1[[#This Row],[Tienda]]&lt;&gt;"", IFERROR( VLOOKUP(Tabla1[[#This Row],[Tienda]],  Hoja1!A:A,   1,   0), "FALTA TIENDA"), "")</f>
        <v>162</v>
      </c>
    </row>
    <row r="90" spans="1:4" x14ac:dyDescent="0.25">
      <c r="A90" s="2">
        <v>163</v>
      </c>
      <c r="B90" s="2" t="s">
        <v>86</v>
      </c>
      <c r="C90" s="2" t="s">
        <v>2</v>
      </c>
      <c r="D90" s="4">
        <f>+IF(Tabla1[[#This Row],[Tienda]]&lt;&gt;"", IFERROR( VLOOKUP(Tabla1[[#This Row],[Tienda]],  Hoja1!A:A,   1,   0), "FALTA TIENDA"), "")</f>
        <v>163</v>
      </c>
    </row>
    <row r="91" spans="1:4" x14ac:dyDescent="0.25">
      <c r="A91" s="2">
        <v>166</v>
      </c>
      <c r="B91" s="2" t="s">
        <v>87</v>
      </c>
      <c r="C91" s="2" t="s">
        <v>10</v>
      </c>
      <c r="D91" s="4">
        <f>+IF(Tabla1[[#This Row],[Tienda]]&lt;&gt;"", IFERROR( VLOOKUP(Tabla1[[#This Row],[Tienda]],  Hoja1!A:A,   1,   0), "FALTA TIENDA"), "")</f>
        <v>166</v>
      </c>
    </row>
    <row r="92" spans="1:4" x14ac:dyDescent="0.25">
      <c r="A92" s="2">
        <v>167</v>
      </c>
      <c r="B92" s="2" t="s">
        <v>88</v>
      </c>
      <c r="C92" s="2" t="s">
        <v>6</v>
      </c>
      <c r="D92" s="4">
        <f>+IF(Tabla1[[#This Row],[Tienda]]&lt;&gt;"", IFERROR( VLOOKUP(Tabla1[[#This Row],[Tienda]],  Hoja1!A:A,   1,   0), "FALTA TIENDA"), "")</f>
        <v>167</v>
      </c>
    </row>
    <row r="93" spans="1:4" x14ac:dyDescent="0.25">
      <c r="A93" s="2">
        <v>168</v>
      </c>
      <c r="B93" s="2" t="s">
        <v>89</v>
      </c>
      <c r="C93" s="2" t="s">
        <v>4</v>
      </c>
      <c r="D93" s="4">
        <f>+IF(Tabla1[[#This Row],[Tienda]]&lt;&gt;"", IFERROR( VLOOKUP(Tabla1[[#This Row],[Tienda]],  Hoja1!A:A,   1,   0), "FALTA TIENDA"), "")</f>
        <v>168</v>
      </c>
    </row>
    <row r="94" spans="1:4" x14ac:dyDescent="0.25">
      <c r="A94" s="2">
        <v>171</v>
      </c>
      <c r="B94" s="2" t="s">
        <v>91</v>
      </c>
      <c r="C94" s="2" t="s">
        <v>4</v>
      </c>
      <c r="D94" s="4">
        <f>+IF(Tabla1[[#This Row],[Tienda]]&lt;&gt;"", IFERROR( VLOOKUP(Tabla1[[#This Row],[Tienda]],  Hoja1!A:A,   1,   0), "FALTA TIENDA"), "")</f>
        <v>171</v>
      </c>
    </row>
    <row r="95" spans="1:4" x14ac:dyDescent="0.25">
      <c r="A95" s="2">
        <v>173</v>
      </c>
      <c r="B95" s="2" t="s">
        <v>92</v>
      </c>
      <c r="C95" s="2" t="s">
        <v>6</v>
      </c>
      <c r="D95" s="4">
        <f>+IF(Tabla1[[#This Row],[Tienda]]&lt;&gt;"", IFERROR( VLOOKUP(Tabla1[[#This Row],[Tienda]],  Hoja1!A:A,   1,   0), "FALTA TIENDA"), "")</f>
        <v>173</v>
      </c>
    </row>
    <row r="96" spans="1:4" x14ac:dyDescent="0.25">
      <c r="A96" s="2">
        <v>174</v>
      </c>
      <c r="B96" s="2" t="s">
        <v>93</v>
      </c>
      <c r="C96" s="2" t="s">
        <v>3</v>
      </c>
      <c r="D96" s="4">
        <f>+IF(Tabla1[[#This Row],[Tienda]]&lt;&gt;"", IFERROR( VLOOKUP(Tabla1[[#This Row],[Tienda]],  Hoja1!A:A,   1,   0), "FALTA TIENDA"), "")</f>
        <v>174</v>
      </c>
    </row>
    <row r="97" spans="1:4" x14ac:dyDescent="0.25">
      <c r="A97" s="2">
        <v>175</v>
      </c>
      <c r="B97" s="2" t="s">
        <v>94</v>
      </c>
      <c r="C97" s="2" t="s">
        <v>3</v>
      </c>
      <c r="D97" s="4">
        <f>+IF(Tabla1[[#This Row],[Tienda]]&lt;&gt;"", IFERROR( VLOOKUP(Tabla1[[#This Row],[Tienda]],  Hoja1!A:A,   1,   0), "FALTA TIENDA"), "")</f>
        <v>175</v>
      </c>
    </row>
    <row r="98" spans="1:4" x14ac:dyDescent="0.25">
      <c r="A98" s="2">
        <v>176</v>
      </c>
      <c r="B98" s="2" t="s">
        <v>95</v>
      </c>
      <c r="C98" s="2" t="s">
        <v>10</v>
      </c>
      <c r="D98" s="4">
        <f>+IF(Tabla1[[#This Row],[Tienda]]&lt;&gt;"", IFERROR( VLOOKUP(Tabla1[[#This Row],[Tienda]],  Hoja1!A:A,   1,   0), "FALTA TIENDA"), "")</f>
        <v>176</v>
      </c>
    </row>
    <row r="99" spans="1:4" x14ac:dyDescent="0.25">
      <c r="A99" s="2">
        <v>177</v>
      </c>
      <c r="B99" s="2" t="s">
        <v>96</v>
      </c>
      <c r="C99" s="2" t="s">
        <v>44</v>
      </c>
      <c r="D99" s="4">
        <f>+IF(Tabla1[[#This Row],[Tienda]]&lt;&gt;"", IFERROR( VLOOKUP(Tabla1[[#This Row],[Tienda]],  Hoja1!A:A,   1,   0), "FALTA TIENDA"), "")</f>
        <v>177</v>
      </c>
    </row>
    <row r="100" spans="1:4" x14ac:dyDescent="0.25">
      <c r="A100" s="2">
        <v>179</v>
      </c>
      <c r="B100" s="2" t="s">
        <v>97</v>
      </c>
      <c r="C100" s="2" t="s">
        <v>3</v>
      </c>
      <c r="D100" s="4">
        <f>+IF(Tabla1[[#This Row],[Tienda]]&lt;&gt;"", IFERROR( VLOOKUP(Tabla1[[#This Row],[Tienda]],  Hoja1!A:A,   1,   0), "FALTA TIENDA"), "")</f>
        <v>179</v>
      </c>
    </row>
    <row r="101" spans="1:4" x14ac:dyDescent="0.25">
      <c r="A101" s="2">
        <v>180</v>
      </c>
      <c r="B101" s="2" t="s">
        <v>98</v>
      </c>
      <c r="C101" s="2" t="s">
        <v>44</v>
      </c>
      <c r="D101" s="4">
        <f>+IF(Tabla1[[#This Row],[Tienda]]&lt;&gt;"", IFERROR( VLOOKUP(Tabla1[[#This Row],[Tienda]],  Hoja1!A:A,   1,   0), "FALTA TIENDA"), "")</f>
        <v>180</v>
      </c>
    </row>
    <row r="102" spans="1:4" x14ac:dyDescent="0.25">
      <c r="A102" s="2">
        <v>182</v>
      </c>
      <c r="B102" s="2" t="s">
        <v>99</v>
      </c>
      <c r="C102" s="2" t="s">
        <v>3</v>
      </c>
      <c r="D102" s="4">
        <f>+IF(Tabla1[[#This Row],[Tienda]]&lt;&gt;"", IFERROR( VLOOKUP(Tabla1[[#This Row],[Tienda]],  Hoja1!A:A,   1,   0), "FALTA TIENDA"), "")</f>
        <v>182</v>
      </c>
    </row>
    <row r="103" spans="1:4" x14ac:dyDescent="0.25">
      <c r="A103" s="2">
        <v>186</v>
      </c>
      <c r="B103" s="2" t="s">
        <v>100</v>
      </c>
      <c r="C103" s="2" t="s">
        <v>10</v>
      </c>
      <c r="D103" s="4">
        <f>+IF(Tabla1[[#This Row],[Tienda]]&lt;&gt;"", IFERROR( VLOOKUP(Tabla1[[#This Row],[Tienda]],  Hoja1!A:A,   1,   0), "FALTA TIENDA"), "")</f>
        <v>186</v>
      </c>
    </row>
    <row r="104" spans="1:4" x14ac:dyDescent="0.25">
      <c r="A104" s="2">
        <v>187</v>
      </c>
      <c r="B104" s="2" t="s">
        <v>101</v>
      </c>
      <c r="C104" s="2" t="s">
        <v>4</v>
      </c>
      <c r="D104" s="4">
        <f>+IF(Tabla1[[#This Row],[Tienda]]&lt;&gt;"", IFERROR( VLOOKUP(Tabla1[[#This Row],[Tienda]],  Hoja1!A:A,   1,   0), "FALTA TIENDA"), "")</f>
        <v>187</v>
      </c>
    </row>
    <row r="105" spans="1:4" x14ac:dyDescent="0.25">
      <c r="A105" s="2">
        <v>188</v>
      </c>
      <c r="B105" s="2" t="s">
        <v>102</v>
      </c>
      <c r="C105" s="2" t="s">
        <v>2</v>
      </c>
      <c r="D105" s="4">
        <f>+IF(Tabla1[[#This Row],[Tienda]]&lt;&gt;"", IFERROR( VLOOKUP(Tabla1[[#This Row],[Tienda]],  Hoja1!A:A,   1,   0), "FALTA TIENDA"), "")</f>
        <v>188</v>
      </c>
    </row>
    <row r="106" spans="1:4" x14ac:dyDescent="0.25">
      <c r="A106" s="2">
        <v>189</v>
      </c>
      <c r="B106" s="2" t="s">
        <v>103</v>
      </c>
      <c r="C106" s="2" t="s">
        <v>2</v>
      </c>
      <c r="D106" s="4">
        <f>+IF(Tabla1[[#This Row],[Tienda]]&lt;&gt;"", IFERROR( VLOOKUP(Tabla1[[#This Row],[Tienda]],  Hoja1!A:A,   1,   0), "FALTA TIENDA"), "")</f>
        <v>189</v>
      </c>
    </row>
    <row r="107" spans="1:4" x14ac:dyDescent="0.25">
      <c r="A107" s="2">
        <v>190</v>
      </c>
      <c r="B107" s="2" t="s">
        <v>104</v>
      </c>
      <c r="C107" s="2" t="s">
        <v>2</v>
      </c>
      <c r="D107" s="4">
        <f>+IF(Tabla1[[#This Row],[Tienda]]&lt;&gt;"", IFERROR( VLOOKUP(Tabla1[[#This Row],[Tienda]],  Hoja1!A:A,   1,   0), "FALTA TIENDA"), "")</f>
        <v>190</v>
      </c>
    </row>
    <row r="108" spans="1:4" x14ac:dyDescent="0.25">
      <c r="A108" s="2">
        <v>191</v>
      </c>
      <c r="B108" s="2" t="s">
        <v>105</v>
      </c>
      <c r="C108" s="2" t="s">
        <v>2</v>
      </c>
      <c r="D108" s="4">
        <f>+IF(Tabla1[[#This Row],[Tienda]]&lt;&gt;"", IFERROR( VLOOKUP(Tabla1[[#This Row],[Tienda]],  Hoja1!A:A,   1,   0), "FALTA TIENDA"), "")</f>
        <v>191</v>
      </c>
    </row>
    <row r="109" spans="1:4" x14ac:dyDescent="0.25">
      <c r="A109" s="2">
        <v>192</v>
      </c>
      <c r="B109" s="2" t="s">
        <v>162</v>
      </c>
      <c r="C109" s="2" t="s">
        <v>2</v>
      </c>
      <c r="D109" s="4" t="str">
        <f>+IF(Tabla1[[#This Row],[Tienda]]&lt;&gt;"", IFERROR( VLOOKUP(Tabla1[[#This Row],[Tienda]],  Hoja1!A:A,   1,   0), "FALTA TIENDA"), "")</f>
        <v>FALTA TIENDA</v>
      </c>
    </row>
    <row r="110" spans="1:4" x14ac:dyDescent="0.25">
      <c r="A110" s="2">
        <v>193</v>
      </c>
      <c r="B110" s="2" t="s">
        <v>163</v>
      </c>
      <c r="C110" s="2" t="s">
        <v>3</v>
      </c>
      <c r="D110" s="4" t="str">
        <f>+IF(Tabla1[[#This Row],[Tienda]]&lt;&gt;"", IFERROR( VLOOKUP(Tabla1[[#This Row],[Tienda]],  Hoja1!A:A,   1,   0), "FALTA TIENDA"), "")</f>
        <v>FALTA TIENDA</v>
      </c>
    </row>
    <row r="111" spans="1:4" x14ac:dyDescent="0.25">
      <c r="A111" s="2">
        <v>194</v>
      </c>
      <c r="B111" s="2" t="s">
        <v>164</v>
      </c>
      <c r="C111" s="2" t="s">
        <v>4</v>
      </c>
      <c r="D111" s="4" t="str">
        <f>+IF(Tabla1[[#This Row],[Tienda]]&lt;&gt;"", IFERROR( VLOOKUP(Tabla1[[#This Row],[Tienda]],  Hoja1!A:A,   1,   0), "FALTA TIENDA"), "")</f>
        <v>FALTA TIENDA</v>
      </c>
    </row>
    <row r="112" spans="1:4" x14ac:dyDescent="0.25">
      <c r="A112" s="2">
        <v>195</v>
      </c>
      <c r="B112" s="2" t="s">
        <v>165</v>
      </c>
      <c r="C112" s="2" t="s">
        <v>4</v>
      </c>
      <c r="D112" s="4" t="str">
        <f>+IF(Tabla1[[#This Row],[Tienda]]&lt;&gt;"", IFERROR( VLOOKUP(Tabla1[[#This Row],[Tienda]],  Hoja1!A:A,   1,   0), "FALTA TIENDA"), "")</f>
        <v>FALTA TIENDA</v>
      </c>
    </row>
    <row r="113" spans="1:4" x14ac:dyDescent="0.25">
      <c r="A113" s="2">
        <v>197</v>
      </c>
      <c r="B113" s="2" t="s">
        <v>166</v>
      </c>
      <c r="C113" s="2" t="s">
        <v>6</v>
      </c>
      <c r="D113" s="4" t="str">
        <f>+IF(Tabla1[[#This Row],[Tienda]]&lt;&gt;"", IFERROR( VLOOKUP(Tabla1[[#This Row],[Tienda]],  Hoja1!A:A,   1,   0), "FALTA TIENDA"), "")</f>
        <v>FALTA TIENDA</v>
      </c>
    </row>
    <row r="114" spans="1:4" x14ac:dyDescent="0.25">
      <c r="A114" s="2">
        <v>201</v>
      </c>
      <c r="B114" s="2" t="s">
        <v>167</v>
      </c>
      <c r="C114" s="2" t="s">
        <v>2</v>
      </c>
      <c r="D114" s="4" t="str">
        <f>+IF(Tabla1[[#This Row],[Tienda]]&lt;&gt;"", IFERROR( VLOOKUP(Tabla1[[#This Row],[Tienda]],  Hoja1!A:A,   1,   0), "FALTA TIENDA"), "")</f>
        <v>FALTA TIENDA</v>
      </c>
    </row>
    <row r="115" spans="1:4" x14ac:dyDescent="0.25">
      <c r="A115" s="2">
        <v>203</v>
      </c>
      <c r="B115" s="2" t="s">
        <v>168</v>
      </c>
      <c r="C115" s="2" t="s">
        <v>10</v>
      </c>
      <c r="D115" s="4" t="str">
        <f>+IF(Tabla1[[#This Row],[Tienda]]&lt;&gt;"", IFERROR( VLOOKUP(Tabla1[[#This Row],[Tienda]],  Hoja1!A:A,   1,   0), "FALTA TIENDA"), "")</f>
        <v>FALTA TIENDA</v>
      </c>
    </row>
    <row r="116" spans="1:4" x14ac:dyDescent="0.25">
      <c r="D116" s="4" t="str">
        <f>+IF(Tabla1[[#This Row],[Tienda]]&lt;&gt;"", IFERROR( VLOOKUP(Tabla1[[#This Row],[Tienda]],  Hoja1!A:A,   1,   0), "FALTA TIENDA"), "")</f>
        <v/>
      </c>
    </row>
    <row r="117" spans="1:4" x14ac:dyDescent="0.25">
      <c r="D117" s="4" t="str">
        <f>+IF(Tabla1[[#This Row],[Tienda]]&lt;&gt;"", IFERROR( VLOOKUP(Tabla1[[#This Row],[Tienda]],  Hoja1!A:A,   1,   0), "FALTA TIENDA"), "")</f>
        <v/>
      </c>
    </row>
    <row r="118" spans="1:4" x14ac:dyDescent="0.25">
      <c r="D118" s="4" t="str">
        <f>+IF(Tabla1[[#This Row],[Tienda]]&lt;&gt;"", IFERROR( VLOOKUP(Tabla1[[#This Row],[Tienda]],  Hoja1!A:A,   1,   0), "FALTA TIENDA"), "")</f>
        <v/>
      </c>
    </row>
    <row r="119" spans="1:4" x14ac:dyDescent="0.25">
      <c r="D119" s="4" t="str">
        <f>+IF(Tabla1[[#This Row],[Tienda]]&lt;&gt;"", IFERROR( VLOOKUP(Tabla1[[#This Row],[Tienda]],  Hoja1!A:A,   1,   0), "FALTA TIENDA"), "")</f>
        <v/>
      </c>
    </row>
    <row r="120" spans="1:4" x14ac:dyDescent="0.25">
      <c r="D120" s="4" t="str">
        <f>+IF(Tabla1[[#This Row],[Tienda]]&lt;&gt;"", IFERROR( VLOOKUP(Tabla1[[#This Row],[Tienda]],  Hoja1!A:A,   1,   0), "FALTA TIENDA"), "")</f>
        <v/>
      </c>
    </row>
    <row r="121" spans="1:4" x14ac:dyDescent="0.25">
      <c r="D121" s="4" t="str">
        <f>+IF(Tabla1[[#This Row],[Tienda]]&lt;&gt;"", IFERROR( VLOOKUP(Tabla1[[#This Row],[Tienda]],  Hoja1!A:A,   1,   0), "FALTA TIENDA"), "")</f>
        <v/>
      </c>
    </row>
    <row r="122" spans="1:4" x14ac:dyDescent="0.25">
      <c r="D122" s="4" t="str">
        <f>+IF(Tabla1[[#This Row],[Tienda]]&lt;&gt;"", IFERROR( VLOOKUP(Tabla1[[#This Row],[Tienda]],  Hoja1!A:A,   1,   0), "FALTA TIENDA"), "")</f>
        <v/>
      </c>
    </row>
    <row r="123" spans="1:4" x14ac:dyDescent="0.25">
      <c r="D123" s="4" t="str">
        <f>+IF(Tabla1[[#This Row],[Tienda]]&lt;&gt;"", IFERROR( VLOOKUP(Tabla1[[#This Row],[Tienda]],  Hoja1!A:A,   1,   0), "FALTA TIENDA"), "")</f>
        <v/>
      </c>
    </row>
    <row r="124" spans="1:4" x14ac:dyDescent="0.25">
      <c r="D124" s="4" t="str">
        <f>+IF(Tabla1[[#This Row],[Tienda]]&lt;&gt;"", IFERROR( VLOOKUP(Tabla1[[#This Row],[Tienda]],  Hoja1!A:A,   1,   0), "FALTA TIENDA"), "")</f>
        <v/>
      </c>
    </row>
    <row r="125" spans="1:4" x14ac:dyDescent="0.25">
      <c r="D125" s="4" t="str">
        <f>+IF(Tabla1[[#This Row],[Tienda]]&lt;&gt;"", IFERROR( VLOOKUP(Tabla1[[#This Row],[Tienda]],  Hoja1!A:A,   1,   0), "FALTA TIENDA"), "")</f>
        <v/>
      </c>
    </row>
    <row r="126" spans="1:4" x14ac:dyDescent="0.25">
      <c r="D126" s="4" t="str">
        <f>+IF(Tabla1[[#This Row],[Tienda]]&lt;&gt;"", IFERROR( VLOOKUP(Tabla1[[#This Row],[Tienda]],  Hoja1!A:A,   1,   0), "FALTA TIENDA"), "")</f>
        <v/>
      </c>
    </row>
    <row r="127" spans="1:4" x14ac:dyDescent="0.25">
      <c r="D127" s="4" t="str">
        <f>+IF(Tabla1[[#This Row],[Tienda]]&lt;&gt;"", IFERROR( VLOOKUP(Tabla1[[#This Row],[Tienda]],  Hoja1!A:A,   1,   0), "FALTA TIENDA"), "")</f>
        <v/>
      </c>
    </row>
    <row r="128" spans="1:4" x14ac:dyDescent="0.25">
      <c r="D128" s="4" t="str">
        <f>+IF(Tabla1[[#This Row],[Tienda]]&lt;&gt;"", IFERROR( VLOOKUP(Tabla1[[#This Row],[Tienda]],  Hoja1!A:A,   1,   0), "FALTA TIENDA"), "")</f>
        <v/>
      </c>
    </row>
    <row r="129" spans="4:4" x14ac:dyDescent="0.25">
      <c r="D129" s="4" t="str">
        <f>+IF(Tabla1[[#This Row],[Tienda]]&lt;&gt;"", IFERROR( VLOOKUP(Tabla1[[#This Row],[Tienda]],  Hoja1!A:A,   1,   0), "FALTA TIENDA"), "")</f>
        <v/>
      </c>
    </row>
    <row r="130" spans="4:4" x14ac:dyDescent="0.25">
      <c r="D130" s="4" t="str">
        <f>+IF(Tabla1[[#This Row],[Tienda]]&lt;&gt;"", IFERROR( VLOOKUP(Tabla1[[#This Row],[Tienda]],  Hoja1!A:A,   1,   0), "FALTA TIENDA"), "")</f>
        <v/>
      </c>
    </row>
    <row r="131" spans="4:4" x14ac:dyDescent="0.25">
      <c r="D131" s="4" t="str">
        <f>+IF(Tabla1[[#This Row],[Tienda]]&lt;&gt;"", IFERROR( VLOOKUP(Tabla1[[#This Row],[Tienda]],  Hoja1!A:A,   1,   0), "FALTA TIENDA"), "")</f>
        <v/>
      </c>
    </row>
    <row r="132" spans="4:4" x14ac:dyDescent="0.25">
      <c r="D132" s="4" t="str">
        <f>+IF(Tabla1[[#This Row],[Tienda]]&lt;&gt;"", IFERROR( VLOOKUP(Tabla1[[#This Row],[Tienda]],  Hoja1!A:A,   1,   0), "FALTA TIENDA"), "")</f>
        <v/>
      </c>
    </row>
    <row r="133" spans="4:4" x14ac:dyDescent="0.25">
      <c r="D133" s="4" t="str">
        <f>+IF(Tabla1[[#This Row],[Tienda]]&lt;&gt;"", IFERROR( VLOOKUP(Tabla1[[#This Row],[Tienda]],  Hoja1!A:A,   1,   0), "FALTA TIENDA"), "")</f>
        <v/>
      </c>
    </row>
    <row r="134" spans="4:4" x14ac:dyDescent="0.25">
      <c r="D134" s="4" t="str">
        <f>+IF(Tabla1[[#This Row],[Tienda]]&lt;&gt;"", IFERROR( VLOOKUP(Tabla1[[#This Row],[Tienda]],  Hoja1!A:A,   1,   0), "FALTA TIENDA"), "")</f>
        <v/>
      </c>
    </row>
    <row r="135" spans="4:4" x14ac:dyDescent="0.25">
      <c r="D135" s="4" t="str">
        <f>+IF(Tabla1[[#This Row],[Tienda]]&lt;&gt;"", IFERROR( VLOOKUP(Tabla1[[#This Row],[Tienda]],  Hoja1!A:A,   1,   0), "FALTA TIENDA"), "")</f>
        <v/>
      </c>
    </row>
    <row r="136" spans="4:4" x14ac:dyDescent="0.25">
      <c r="D136" s="4" t="str">
        <f>+IF(Tabla1[[#This Row],[Tienda]]&lt;&gt;"", IFERROR( VLOOKUP(Tabla1[[#This Row],[Tienda]],  Hoja1!A:A,   1,   0), "FALTA TIENDA"), "")</f>
        <v/>
      </c>
    </row>
    <row r="137" spans="4:4" x14ac:dyDescent="0.25">
      <c r="D137" s="4" t="str">
        <f>+IF(Tabla1[[#This Row],[Tienda]]&lt;&gt;"", IFERROR( VLOOKUP(Tabla1[[#This Row],[Tienda]],  Hoja1!A:A,   1,   0), "FALTA TIENDA"), "")</f>
        <v/>
      </c>
    </row>
    <row r="138" spans="4:4" x14ac:dyDescent="0.25">
      <c r="D138" s="4" t="str">
        <f>+IF(Tabla1[[#This Row],[Tienda]]&lt;&gt;"", IFERROR( VLOOKUP(Tabla1[[#This Row],[Tienda]],  Hoja1!A:A,   1,   0), "FALTA TIENDA"), "")</f>
        <v/>
      </c>
    </row>
    <row r="139" spans="4:4" x14ac:dyDescent="0.25">
      <c r="D139" s="4" t="str">
        <f>+IF(Tabla1[[#This Row],[Tienda]]&lt;&gt;"", IFERROR( VLOOKUP(Tabla1[[#This Row],[Tienda]],  Hoja1!A:A,   1,   0), "FALTA TIENDA"), "")</f>
        <v/>
      </c>
    </row>
    <row r="140" spans="4:4" x14ac:dyDescent="0.25">
      <c r="D140" s="4" t="str">
        <f>+IF(Tabla1[[#This Row],[Tienda]]&lt;&gt;"", IFERROR( VLOOKUP(Tabla1[[#This Row],[Tienda]],  Hoja1!A:A,   1,   0), "FALTA TIENDA"), "")</f>
        <v/>
      </c>
    </row>
    <row r="141" spans="4:4" x14ac:dyDescent="0.25">
      <c r="D141" s="4" t="str">
        <f>+IF(Tabla1[[#This Row],[Tienda]]&lt;&gt;"", IFERROR( VLOOKUP(Tabla1[[#This Row],[Tienda]],  Hoja1!A:A,   1,   0), "FALTA TIENDA"), "")</f>
        <v/>
      </c>
    </row>
    <row r="142" spans="4:4" x14ac:dyDescent="0.25">
      <c r="D142" s="4" t="str">
        <f>+IF(Tabla1[[#This Row],[Tienda]]&lt;&gt;"", IFERROR( VLOOKUP(Tabla1[[#This Row],[Tienda]],  Hoja1!A:A,   1,   0), "FALTA TIENDA"), "")</f>
        <v/>
      </c>
    </row>
    <row r="143" spans="4:4" x14ac:dyDescent="0.25">
      <c r="D143" s="4" t="str">
        <f>+IF(Tabla1[[#This Row],[Tienda]]&lt;&gt;"", IFERROR( VLOOKUP(Tabla1[[#This Row],[Tienda]],  Hoja1!A:A,   1,   0), "FALTA TIENDA"), "")</f>
        <v/>
      </c>
    </row>
    <row r="144" spans="4:4" x14ac:dyDescent="0.25">
      <c r="D144" s="4" t="str">
        <f>+IF(Tabla1[[#This Row],[Tienda]]&lt;&gt;"", IFERROR( VLOOKUP(Tabla1[[#This Row],[Tienda]],  Hoja1!A:A,   1,   0), "FALTA TIENDA"), "")</f>
        <v/>
      </c>
    </row>
    <row r="145" spans="4:4" x14ac:dyDescent="0.25">
      <c r="D145" s="4" t="str">
        <f>+IF(Tabla1[[#This Row],[Tienda]]&lt;&gt;"", IFERROR( VLOOKUP(Tabla1[[#This Row],[Tienda]],  Hoja1!A:A,   1,   0), "FALTA TIENDA"), "")</f>
        <v/>
      </c>
    </row>
    <row r="146" spans="4:4" x14ac:dyDescent="0.25">
      <c r="D146" s="4" t="str">
        <f>+IF(Tabla1[[#This Row],[Tienda]]&lt;&gt;"", IFERROR( VLOOKUP(Tabla1[[#This Row],[Tienda]],  Hoja1!A:A,   1,   0), "FALTA TIENDA"), "")</f>
        <v/>
      </c>
    </row>
    <row r="147" spans="4:4" x14ac:dyDescent="0.25">
      <c r="D147" s="4" t="str">
        <f>+IF(Tabla1[[#This Row],[Tienda]]&lt;&gt;"", IFERROR( VLOOKUP(Tabla1[[#This Row],[Tienda]],  Hoja1!A:A,   1,   0), "FALTA TIENDA"), "")</f>
        <v/>
      </c>
    </row>
    <row r="148" spans="4:4" x14ac:dyDescent="0.25">
      <c r="D148" s="4" t="str">
        <f>+IF(Tabla1[[#This Row],[Tienda]]&lt;&gt;"", IFERROR( VLOOKUP(Tabla1[[#This Row],[Tienda]],  Hoja1!A:A,   1,   0), "FALTA TIENDA"), "")</f>
        <v/>
      </c>
    </row>
    <row r="149" spans="4:4" x14ac:dyDescent="0.25">
      <c r="D149" s="4" t="str">
        <f>+IF(Tabla1[[#This Row],[Tienda]]&lt;&gt;"", IFERROR( VLOOKUP(Tabla1[[#This Row],[Tienda]],  Hoja1!A:A,   1,   0), "FALTA TIENDA"), "")</f>
        <v/>
      </c>
    </row>
    <row r="150" spans="4:4" x14ac:dyDescent="0.25">
      <c r="D150" s="4" t="str">
        <f>+IF(Tabla1[[#This Row],[Tienda]]&lt;&gt;"", IFERROR( VLOOKUP(Tabla1[[#This Row],[Tienda]],  Hoja1!A:A,   1,   0), "FALTA TIENDA"), "")</f>
        <v/>
      </c>
    </row>
    <row r="151" spans="4:4" x14ac:dyDescent="0.25">
      <c r="D151" s="4" t="str">
        <f>+IF(Tabla1[[#This Row],[Tienda]]&lt;&gt;"", IFERROR( VLOOKUP(Tabla1[[#This Row],[Tienda]],  Hoja1!A:A,   1,   0), "FALTA TIENDA"), "")</f>
        <v/>
      </c>
    </row>
    <row r="152" spans="4:4" x14ac:dyDescent="0.25">
      <c r="D152" s="4" t="str">
        <f>+IF(Tabla1[[#This Row],[Tienda]]&lt;&gt;"", IFERROR( VLOOKUP(Tabla1[[#This Row],[Tienda]],  Hoja1!A:A,   1,   0), "FALTA TIENDA"), "")</f>
        <v/>
      </c>
    </row>
    <row r="153" spans="4:4" x14ac:dyDescent="0.25">
      <c r="D153" s="4" t="str">
        <f>+IF(Tabla1[[#This Row],[Tienda]]&lt;&gt;"", IFERROR( VLOOKUP(Tabla1[[#This Row],[Tienda]],  Hoja1!A:A,   1,   0), "FALTA TIENDA"), "")</f>
        <v/>
      </c>
    </row>
    <row r="154" spans="4:4" x14ac:dyDescent="0.25">
      <c r="D154" s="4" t="str">
        <f>+IF(Tabla1[[#This Row],[Tienda]]&lt;&gt;"", IFERROR( VLOOKUP(Tabla1[[#This Row],[Tienda]],  Hoja1!A:A,   1,   0), "FALTA TIENDA"), "")</f>
        <v/>
      </c>
    </row>
    <row r="155" spans="4:4" x14ac:dyDescent="0.25">
      <c r="D155" s="4" t="str">
        <f>+IF(Tabla1[[#This Row],[Tienda]]&lt;&gt;"", IFERROR( VLOOKUP(Tabla1[[#This Row],[Tienda]],  Hoja1!A:A,   1,   0), "FALTA TIENDA"), "")</f>
        <v/>
      </c>
    </row>
    <row r="156" spans="4:4" x14ac:dyDescent="0.25">
      <c r="D156" s="4" t="str">
        <f>+IF(Tabla1[[#This Row],[Tienda]]&lt;&gt;"", IFERROR( VLOOKUP(Tabla1[[#This Row],[Tienda]],  Hoja1!A:A,   1,   0), "FALTA TIENDA"), "")</f>
        <v/>
      </c>
    </row>
    <row r="157" spans="4:4" x14ac:dyDescent="0.25">
      <c r="D157" s="4" t="str">
        <f>+IF(Tabla1[[#This Row],[Tienda]]&lt;&gt;"", IFERROR( VLOOKUP(Tabla1[[#This Row],[Tienda]],  Hoja1!A:A,   1,   0), "FALTA TIENDA"), "")</f>
        <v/>
      </c>
    </row>
    <row r="158" spans="4:4" x14ac:dyDescent="0.25">
      <c r="D158" s="4" t="str">
        <f>+IF(Tabla1[[#This Row],[Tienda]]&lt;&gt;"", IFERROR( VLOOKUP(Tabla1[[#This Row],[Tienda]],  Hoja1!A:A,   1,   0), "FALTA TIENDA"), "")</f>
        <v/>
      </c>
    </row>
    <row r="159" spans="4:4" x14ac:dyDescent="0.25">
      <c r="D159" s="4" t="str">
        <f>+IF(Tabla1[[#This Row],[Tienda]]&lt;&gt;"", IFERROR( VLOOKUP(Tabla1[[#This Row],[Tienda]],  Hoja1!A:A,   1,   0), "FALTA TIENDA"), "")</f>
        <v/>
      </c>
    </row>
    <row r="160" spans="4:4" x14ac:dyDescent="0.25">
      <c r="D160" s="4" t="str">
        <f>+IF(Tabla1[[#This Row],[Tienda]]&lt;&gt;"", IFERROR( VLOOKUP(Tabla1[[#This Row],[Tienda]],  Hoja1!A:A,   1,   0), "FALTA TIENDA"), "")</f>
        <v/>
      </c>
    </row>
    <row r="161" spans="4:4" x14ac:dyDescent="0.25">
      <c r="D161" s="4" t="str">
        <f>+IF(Tabla1[[#This Row],[Tienda]]&lt;&gt;"", IFERROR( VLOOKUP(Tabla1[[#This Row],[Tienda]],  Hoja1!A:A,   1,   0), "FALTA TIENDA"), "")</f>
        <v/>
      </c>
    </row>
    <row r="162" spans="4:4" x14ac:dyDescent="0.25">
      <c r="D162" s="4" t="str">
        <f>+IF(Tabla1[[#This Row],[Tienda]]&lt;&gt;"", IFERROR( VLOOKUP(Tabla1[[#This Row],[Tienda]],  Hoja1!A:A,   1,   0), "FALTA TIENDA"), "")</f>
        <v/>
      </c>
    </row>
    <row r="163" spans="4:4" x14ac:dyDescent="0.25">
      <c r="D163" s="4" t="str">
        <f>+IF(Tabla1[[#This Row],[Tienda]]&lt;&gt;"", IFERROR( VLOOKUP(Tabla1[[#This Row],[Tienda]],  Hoja1!A:A,   1,   0), "FALTA TIENDA"), "")</f>
        <v/>
      </c>
    </row>
    <row r="164" spans="4:4" x14ac:dyDescent="0.25">
      <c r="D164" s="4" t="str">
        <f>+IF(Tabla1[[#This Row],[Tienda]]&lt;&gt;"", IFERROR( VLOOKUP(Tabla1[[#This Row],[Tienda]],  Hoja1!A:A,   1,   0), "FALTA TIENDA"), "")</f>
        <v/>
      </c>
    </row>
    <row r="165" spans="4:4" x14ac:dyDescent="0.25">
      <c r="D165" s="4" t="str">
        <f>+IF(Tabla1[[#This Row],[Tienda]]&lt;&gt;"", IFERROR( VLOOKUP(Tabla1[[#This Row],[Tienda]],  Hoja1!A:A,   1,   0), "FALTA TIENDA"), "")</f>
        <v/>
      </c>
    </row>
    <row r="166" spans="4:4" x14ac:dyDescent="0.25">
      <c r="D166" s="4" t="str">
        <f>+IF(Tabla1[[#This Row],[Tienda]]&lt;&gt;"", IFERROR( VLOOKUP(Tabla1[[#This Row],[Tienda]],  Hoja1!A:A,   1,   0), "FALTA TIENDA"), "")</f>
        <v/>
      </c>
    </row>
    <row r="167" spans="4:4" x14ac:dyDescent="0.25">
      <c r="D167" s="4" t="str">
        <f>+IF(Tabla1[[#This Row],[Tienda]]&lt;&gt;"", IFERROR( VLOOKUP(Tabla1[[#This Row],[Tienda]],  Hoja1!A:A,   1,   0), "FALTA TIENDA"), "")</f>
        <v/>
      </c>
    </row>
    <row r="168" spans="4:4" x14ac:dyDescent="0.25">
      <c r="D168" s="4" t="str">
        <f>+IF(Tabla1[[#This Row],[Tienda]]&lt;&gt;"", IFERROR( VLOOKUP(Tabla1[[#This Row],[Tienda]],  Hoja1!A:A,   1,   0), "FALTA TIENDA"), "")</f>
        <v/>
      </c>
    </row>
    <row r="169" spans="4:4" x14ac:dyDescent="0.25">
      <c r="D169" s="4" t="str">
        <f>+IF(Tabla1[[#This Row],[Tienda]]&lt;&gt;"", IFERROR( VLOOKUP(Tabla1[[#This Row],[Tienda]],  Hoja1!A:A,   1,   0), "FALTA TIENDA"), "")</f>
        <v/>
      </c>
    </row>
    <row r="170" spans="4:4" x14ac:dyDescent="0.25">
      <c r="D170" s="4" t="str">
        <f>+IF(Tabla1[[#This Row],[Tienda]]&lt;&gt;"", IFERROR( VLOOKUP(Tabla1[[#This Row],[Tienda]],  Hoja1!A:A,   1,   0), "FALTA TIENDA"), "")</f>
        <v/>
      </c>
    </row>
    <row r="171" spans="4:4" x14ac:dyDescent="0.25">
      <c r="D171" s="4" t="str">
        <f>+IF(Tabla1[[#This Row],[Tienda]]&lt;&gt;"", IFERROR( VLOOKUP(Tabla1[[#This Row],[Tienda]],  Hoja1!A:A,   1,   0), "FALTA TIENDA"), "")</f>
        <v/>
      </c>
    </row>
    <row r="172" spans="4:4" x14ac:dyDescent="0.25">
      <c r="D172" s="4" t="str">
        <f>+IF(Tabla1[[#This Row],[Tienda]]&lt;&gt;"", IFERROR( VLOOKUP(Tabla1[[#This Row],[Tienda]],  Hoja1!A:A,   1,   0), "FALTA TIENDA"), "")</f>
        <v/>
      </c>
    </row>
    <row r="173" spans="4:4" x14ac:dyDescent="0.25">
      <c r="D173" s="4" t="str">
        <f>+IF(Tabla1[[#This Row],[Tienda]]&lt;&gt;"", IFERROR( VLOOKUP(Tabla1[[#This Row],[Tienda]],  Hoja1!A:A,   1,   0), "FALTA TIENDA"), "")</f>
        <v/>
      </c>
    </row>
    <row r="174" spans="4:4" x14ac:dyDescent="0.25">
      <c r="D174" s="4" t="str">
        <f>+IF(Tabla1[[#This Row],[Tienda]]&lt;&gt;"", IFERROR( VLOOKUP(Tabla1[[#This Row],[Tienda]],  Hoja1!A:A,   1,   0), "FALTA TIENDA"), "")</f>
        <v/>
      </c>
    </row>
    <row r="175" spans="4:4" x14ac:dyDescent="0.25">
      <c r="D175" s="4" t="str">
        <f>+IF(Tabla1[[#This Row],[Tienda]]&lt;&gt;"", IFERROR( VLOOKUP(Tabla1[[#This Row],[Tienda]],  Hoja1!A:A,   1,   0), "FALTA TIENDA"), "")</f>
        <v/>
      </c>
    </row>
    <row r="176" spans="4:4" x14ac:dyDescent="0.25">
      <c r="D176" s="4" t="str">
        <f>+IF(Tabla1[[#This Row],[Tienda]]&lt;&gt;"", IFERROR( VLOOKUP(Tabla1[[#This Row],[Tienda]],  Hoja1!A:A,   1,   0), "FALTA TIENDA"), "")</f>
        <v/>
      </c>
    </row>
    <row r="177" spans="4:4" x14ac:dyDescent="0.25">
      <c r="D177" s="4" t="str">
        <f>+IF(Tabla1[[#This Row],[Tienda]]&lt;&gt;"", IFERROR( VLOOKUP(Tabla1[[#This Row],[Tienda]],  Hoja1!A:A,   1,   0), "FALTA TIENDA"), "")</f>
        <v/>
      </c>
    </row>
    <row r="178" spans="4:4" x14ac:dyDescent="0.25">
      <c r="D178" s="4" t="str">
        <f>+IF(Tabla1[[#This Row],[Tienda]]&lt;&gt;"", IFERROR( VLOOKUP(Tabla1[[#This Row],[Tienda]],  Hoja1!A:A,   1,   0), "FALTA TIENDA"), "")</f>
        <v/>
      </c>
    </row>
    <row r="179" spans="4:4" x14ac:dyDescent="0.25">
      <c r="D179" s="4" t="str">
        <f>+IF(Tabla1[[#This Row],[Tienda]]&lt;&gt;"", IFERROR( VLOOKUP(Tabla1[[#This Row],[Tienda]],  Hoja1!A:A,   1,   0), "FALTA TIENDA"), "")</f>
        <v/>
      </c>
    </row>
    <row r="180" spans="4:4" x14ac:dyDescent="0.25">
      <c r="D180" s="4" t="str">
        <f>+IF(Tabla1[[#This Row],[Tienda]]&lt;&gt;"", IFERROR( VLOOKUP(Tabla1[[#This Row],[Tienda]],  Hoja1!A:A,   1,   0), "FALTA TIENDA"), "")</f>
        <v/>
      </c>
    </row>
    <row r="181" spans="4:4" x14ac:dyDescent="0.25">
      <c r="D181" s="4" t="str">
        <f>+IF(Tabla1[[#This Row],[Tienda]]&lt;&gt;"", IFERROR( VLOOKUP(Tabla1[[#This Row],[Tienda]],  Hoja1!A:A,   1,   0), "FALTA TIENDA"), "")</f>
        <v/>
      </c>
    </row>
    <row r="182" spans="4:4" x14ac:dyDescent="0.25">
      <c r="D182" s="4" t="str">
        <f>+IF(Tabla1[[#This Row],[Tienda]]&lt;&gt;"", IFERROR( VLOOKUP(Tabla1[[#This Row],[Tienda]],  Hoja1!A:A,   1,   0), "FALTA TIENDA"), "")</f>
        <v/>
      </c>
    </row>
    <row r="183" spans="4:4" x14ac:dyDescent="0.25">
      <c r="D183" s="4" t="str">
        <f>+IF(Tabla1[[#This Row],[Tienda]]&lt;&gt;"", IFERROR( VLOOKUP(Tabla1[[#This Row],[Tienda]],  Hoja1!A:A,   1,   0), "FALTA TIENDA"), "")</f>
        <v/>
      </c>
    </row>
    <row r="184" spans="4:4" x14ac:dyDescent="0.25">
      <c r="D184" s="4" t="str">
        <f>+IF(Tabla1[[#This Row],[Tienda]]&lt;&gt;"", IFERROR( VLOOKUP(Tabla1[[#This Row],[Tienda]],  Hoja1!A:A,   1,   0), "FALTA TIENDA"), "")</f>
        <v/>
      </c>
    </row>
    <row r="185" spans="4:4" x14ac:dyDescent="0.25">
      <c r="D185" s="4" t="str">
        <f>+IF(Tabla1[[#This Row],[Tienda]]&lt;&gt;"", IFERROR( VLOOKUP(Tabla1[[#This Row],[Tienda]],  Hoja1!A:A,   1,   0), "FALTA TIENDA"), "")</f>
        <v/>
      </c>
    </row>
    <row r="186" spans="4:4" x14ac:dyDescent="0.25">
      <c r="D186" s="4" t="str">
        <f>+IF(Tabla1[[#This Row],[Tienda]]&lt;&gt;"", IFERROR( VLOOKUP(Tabla1[[#This Row],[Tienda]],  Hoja1!A:A,   1,   0), "FALTA TIENDA"), "")</f>
        <v/>
      </c>
    </row>
    <row r="187" spans="4:4" x14ac:dyDescent="0.25">
      <c r="D187" s="4" t="str">
        <f>+IF(Tabla1[[#This Row],[Tienda]]&lt;&gt;"", IFERROR( VLOOKUP(Tabla1[[#This Row],[Tienda]],  Hoja1!A:A,   1,   0), "FALTA TIENDA"), "")</f>
        <v/>
      </c>
    </row>
    <row r="188" spans="4:4" x14ac:dyDescent="0.25">
      <c r="D188" s="4" t="str">
        <f>+IF(Tabla1[[#This Row],[Tienda]]&lt;&gt;"", IFERROR( VLOOKUP(Tabla1[[#This Row],[Tienda]],  Hoja1!A:A,   1,   0), "FALTA TIENDA"), "")</f>
        <v/>
      </c>
    </row>
    <row r="189" spans="4:4" x14ac:dyDescent="0.25">
      <c r="D189" s="4" t="str">
        <f>+IF(Tabla1[[#This Row],[Tienda]]&lt;&gt;"", IFERROR( VLOOKUP(Tabla1[[#This Row],[Tienda]],  Hoja1!A:A,   1,   0), "FALTA TIENDA"), "")</f>
        <v/>
      </c>
    </row>
    <row r="190" spans="4:4" x14ac:dyDescent="0.25">
      <c r="D190" s="4" t="str">
        <f>+IF(Tabla1[[#This Row],[Tienda]]&lt;&gt;"", IFERROR( VLOOKUP(Tabla1[[#This Row],[Tienda]],  Hoja1!A:A,   1,   0), "FALTA TIENDA"), "")</f>
        <v/>
      </c>
    </row>
    <row r="191" spans="4:4" x14ac:dyDescent="0.25">
      <c r="D191" s="4" t="str">
        <f>+IF(Tabla1[[#This Row],[Tienda]]&lt;&gt;"", IFERROR( VLOOKUP(Tabla1[[#This Row],[Tienda]],  Hoja1!A:A,   1,   0), "FALTA TIENDA"), "")</f>
        <v/>
      </c>
    </row>
    <row r="192" spans="4:4" x14ac:dyDescent="0.25">
      <c r="D192" s="4" t="str">
        <f>+IF(Tabla1[[#This Row],[Tienda]]&lt;&gt;"", IFERROR( VLOOKUP(Tabla1[[#This Row],[Tienda]],  Hoja1!A:A,   1,   0), "FALTA TIENDA"), "")</f>
        <v/>
      </c>
    </row>
    <row r="193" spans="4:4" x14ac:dyDescent="0.25">
      <c r="D193" s="4" t="str">
        <f>+IF(Tabla1[[#This Row],[Tienda]]&lt;&gt;"", IFERROR( VLOOKUP(Tabla1[[#This Row],[Tienda]],  Hoja1!A:A,   1,   0), "FALTA TIENDA"), "")</f>
        <v/>
      </c>
    </row>
    <row r="194" spans="4:4" x14ac:dyDescent="0.25">
      <c r="D194" s="4" t="str">
        <f>+IF(Tabla1[[#This Row],[Tienda]]&lt;&gt;"", IFERROR( VLOOKUP(Tabla1[[#This Row],[Tienda]],  Hoja1!A:A,   1,   0), "FALTA TIENDA"), "")</f>
        <v/>
      </c>
    </row>
    <row r="195" spans="4:4" x14ac:dyDescent="0.25">
      <c r="D195" s="4" t="str">
        <f>+IF(Tabla1[[#This Row],[Tienda]]&lt;&gt;"", IFERROR( VLOOKUP(Tabla1[[#This Row],[Tienda]],  Hoja1!A:A,   1,   0), "FALTA TIENDA"), "")</f>
        <v/>
      </c>
    </row>
    <row r="196" spans="4:4" x14ac:dyDescent="0.25">
      <c r="D196" s="4" t="str">
        <f>+IF(Tabla1[[#This Row],[Tienda]]&lt;&gt;"", IFERROR( VLOOKUP(Tabla1[[#This Row],[Tienda]],  Hoja1!A:A,   1,   0), "FALTA TIENDA"), "")</f>
        <v/>
      </c>
    </row>
    <row r="197" spans="4:4" x14ac:dyDescent="0.25">
      <c r="D197" s="4" t="str">
        <f>+IF(Tabla1[[#This Row],[Tienda]]&lt;&gt;"", IFERROR( VLOOKUP(Tabla1[[#This Row],[Tienda]],  Hoja1!A:A,   1,   0), "FALTA TIENDA"), "")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maestro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perez, david (Paterna)</dc:creator>
  <cp:lastModifiedBy>corral martinez, miguel (Paterna)</cp:lastModifiedBy>
  <dcterms:created xsi:type="dcterms:W3CDTF">2026-01-22T17:46:43Z</dcterms:created>
  <dcterms:modified xsi:type="dcterms:W3CDTF">2026-06-23T09:19:29Z</dcterms:modified>
</cp:coreProperties>
</file>